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fla004_NoSync\PapersConf\CSYS\2019_CSYS\2019_CYCS_Chesapeake\"/>
    </mc:Choice>
  </mc:AlternateContent>
  <xr:revisionPtr revIDLastSave="0" documentId="13_ncr:1_{6882A092-77E3-4AE7-8667-E5AD47D2861C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Averaged Data" sheetId="1" r:id="rId1"/>
    <sheet name="Results vs speed" sheetId="2" r:id="rId2"/>
    <sheet name="Results vs yaw" sheetId="3" r:id="rId3"/>
    <sheet name="Prohaska" sheetId="4" r:id="rId4"/>
    <sheet name="Froude Scal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3" l="1"/>
  <c r="R4" i="3"/>
  <c r="R3" i="3"/>
  <c r="R2" i="3"/>
  <c r="Q5" i="3"/>
  <c r="Q4" i="3"/>
  <c r="Q3" i="3"/>
  <c r="Q2" i="3"/>
  <c r="P5" i="3"/>
  <c r="P4" i="3"/>
  <c r="P3" i="3"/>
  <c r="P2" i="3"/>
  <c r="AI82" i="4"/>
  <c r="AJ82" i="4"/>
  <c r="AH82" i="4"/>
  <c r="D7" i="5"/>
  <c r="E7" i="5" s="1"/>
  <c r="D8" i="5"/>
  <c r="E8" i="5" s="1"/>
  <c r="D9" i="5"/>
  <c r="E9" i="5" s="1"/>
  <c r="D10" i="5"/>
  <c r="E10" i="5" s="1"/>
  <c r="D6" i="5"/>
  <c r="E6" i="5" s="1"/>
  <c r="Q102" i="3"/>
  <c r="R102" i="3"/>
  <c r="S102" i="3"/>
  <c r="T102" i="3"/>
  <c r="U102" i="3"/>
  <c r="V102" i="3"/>
  <c r="W102" i="3"/>
  <c r="X102" i="3"/>
  <c r="P102" i="3"/>
  <c r="O117" i="3"/>
  <c r="O116" i="3"/>
  <c r="X115" i="3"/>
  <c r="X118" i="3" s="1"/>
  <c r="W115" i="3"/>
  <c r="W118" i="3" s="1"/>
  <c r="V115" i="3"/>
  <c r="V118" i="3" s="1"/>
  <c r="U115" i="3"/>
  <c r="U118" i="3" s="1"/>
  <c r="T115" i="3"/>
  <c r="T118" i="3" s="1"/>
  <c r="S115" i="3"/>
  <c r="S118" i="3" s="1"/>
  <c r="R115" i="3"/>
  <c r="R118" i="3" s="1"/>
  <c r="Q115" i="3"/>
  <c r="Q118" i="3" s="1"/>
  <c r="P115" i="3"/>
  <c r="P118" i="3" s="1"/>
  <c r="O115" i="3"/>
  <c r="O109" i="3"/>
  <c r="O108" i="3"/>
  <c r="X107" i="3"/>
  <c r="X110" i="3" s="1"/>
  <c r="W107" i="3"/>
  <c r="W110" i="3" s="1"/>
  <c r="V107" i="3"/>
  <c r="V110" i="3" s="1"/>
  <c r="U107" i="3"/>
  <c r="U110" i="3" s="1"/>
  <c r="T107" i="3"/>
  <c r="T110" i="3" s="1"/>
  <c r="S107" i="3"/>
  <c r="S110" i="3" s="1"/>
  <c r="R107" i="3"/>
  <c r="R110" i="3" s="1"/>
  <c r="Q107" i="3"/>
  <c r="Q110" i="3" s="1"/>
  <c r="P107" i="3"/>
  <c r="P110" i="3" s="1"/>
  <c r="O106" i="3"/>
  <c r="Q86" i="3"/>
  <c r="O102" i="3" s="1"/>
  <c r="O110" i="3" s="1"/>
  <c r="O118" i="3" l="1"/>
  <c r="B33" i="3" l="1"/>
  <c r="C33" i="3"/>
  <c r="D33" i="3"/>
  <c r="E33" i="3"/>
  <c r="J33" i="3"/>
  <c r="K33" i="3"/>
  <c r="L33" i="3"/>
  <c r="M33" i="3"/>
  <c r="N33" i="3"/>
  <c r="S33" i="3"/>
  <c r="T33" i="3"/>
  <c r="U33" i="3"/>
  <c r="A33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8" i="3"/>
  <c r="N47" i="3"/>
  <c r="N73" i="3"/>
  <c r="N72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1" i="3"/>
  <c r="N30" i="3"/>
  <c r="N29" i="3"/>
  <c r="N28" i="3"/>
  <c r="N70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3" i="3"/>
  <c r="N12" i="3"/>
  <c r="N11" i="3"/>
  <c r="N10" i="3"/>
  <c r="M10" i="3"/>
  <c r="B37" i="2"/>
  <c r="B34" i="4" s="1"/>
  <c r="C37" i="2"/>
  <c r="C34" i="4" s="1"/>
  <c r="D37" i="2"/>
  <c r="D34" i="4" s="1"/>
  <c r="E37" i="2"/>
  <c r="E34" i="4" s="1"/>
  <c r="J37" i="2"/>
  <c r="K37" i="2"/>
  <c r="L37" i="2"/>
  <c r="J34" i="4" s="1"/>
  <c r="L34" i="4" s="1"/>
  <c r="M37" i="2"/>
  <c r="F34" i="4" s="1"/>
  <c r="N37" i="2"/>
  <c r="G34" i="4" s="1"/>
  <c r="A37" i="2"/>
  <c r="A34" i="4" s="1"/>
  <c r="Q3" i="4" l="1"/>
  <c r="O34" i="4" s="1"/>
  <c r="P34" i="4" s="1"/>
  <c r="U34" i="4" s="1"/>
  <c r="F12" i="4"/>
  <c r="G12" i="4"/>
  <c r="F13" i="4"/>
  <c r="G13" i="4"/>
  <c r="A1" i="4"/>
  <c r="N10" i="2"/>
  <c r="G10" i="4" s="1"/>
  <c r="N15" i="2"/>
  <c r="N16" i="2"/>
  <c r="G15" i="4" s="1"/>
  <c r="N17" i="2"/>
  <c r="G16" i="4" s="1"/>
  <c r="N18" i="2"/>
  <c r="G17" i="4" s="1"/>
  <c r="N19" i="2"/>
  <c r="G18" i="4" s="1"/>
  <c r="N20" i="2"/>
  <c r="G19" i="4" s="1"/>
  <c r="N21" i="2"/>
  <c r="G20" i="4" s="1"/>
  <c r="N22" i="2"/>
  <c r="G21" i="4" s="1"/>
  <c r="N23" i="2"/>
  <c r="G22" i="4" s="1"/>
  <c r="N25" i="2"/>
  <c r="G23" i="4" s="1"/>
  <c r="N26" i="2"/>
  <c r="G24" i="4" s="1"/>
  <c r="N27" i="2"/>
  <c r="G25" i="4" s="1"/>
  <c r="N28" i="2"/>
  <c r="G26" i="4" s="1"/>
  <c r="N30" i="2"/>
  <c r="G27" i="4" s="1"/>
  <c r="N31" i="2"/>
  <c r="G28" i="4" s="1"/>
  <c r="N32" i="2"/>
  <c r="G29" i="4" s="1"/>
  <c r="N33" i="2"/>
  <c r="G30" i="4" s="1"/>
  <c r="N34" i="2"/>
  <c r="G31" i="4" s="1"/>
  <c r="N35" i="2"/>
  <c r="G32" i="4" s="1"/>
  <c r="N38" i="2"/>
  <c r="G35" i="4" s="1"/>
  <c r="N39" i="2"/>
  <c r="G36" i="4" s="1"/>
  <c r="N40" i="2"/>
  <c r="G37" i="4" s="1"/>
  <c r="N42" i="2"/>
  <c r="G38" i="4" s="1"/>
  <c r="N43" i="2"/>
  <c r="G39" i="4" s="1"/>
  <c r="N44" i="2"/>
  <c r="G40" i="4" s="1"/>
  <c r="N45" i="2"/>
  <c r="G41" i="4" s="1"/>
  <c r="N46" i="2"/>
  <c r="G42" i="4" s="1"/>
  <c r="N47" i="2"/>
  <c r="G43" i="4" s="1"/>
  <c r="N49" i="2"/>
  <c r="G44" i="4" s="1"/>
  <c r="N50" i="2"/>
  <c r="G45" i="4" s="1"/>
  <c r="N51" i="2"/>
  <c r="G46" i="4" s="1"/>
  <c r="N52" i="2"/>
  <c r="G47" i="4" s="1"/>
  <c r="N53" i="2"/>
  <c r="G48" i="4" s="1"/>
  <c r="N54" i="2"/>
  <c r="G49" i="4" s="1"/>
  <c r="N55" i="2"/>
  <c r="G50" i="4" s="1"/>
  <c r="N56" i="2"/>
  <c r="G51" i="4" s="1"/>
  <c r="N58" i="2"/>
  <c r="G53" i="4" s="1"/>
  <c r="N59" i="2"/>
  <c r="G54" i="4" s="1"/>
  <c r="N60" i="2"/>
  <c r="G55" i="4" s="1"/>
  <c r="N61" i="2"/>
  <c r="G56" i="4" s="1"/>
  <c r="N62" i="2"/>
  <c r="G57" i="4" s="1"/>
  <c r="N63" i="2"/>
  <c r="G58" i="4" s="1"/>
  <c r="N64" i="2"/>
  <c r="G59" i="4" s="1"/>
  <c r="N65" i="2"/>
  <c r="G60" i="4" s="1"/>
  <c r="N66" i="2"/>
  <c r="G61" i="4" s="1"/>
  <c r="N67" i="2"/>
  <c r="G62" i="4" s="1"/>
  <c r="N68" i="2"/>
  <c r="G63" i="4" s="1"/>
  <c r="N69" i="2"/>
  <c r="G64" i="4" s="1"/>
  <c r="N70" i="2"/>
  <c r="G65" i="4" s="1"/>
  <c r="N71" i="2"/>
  <c r="G66" i="4" s="1"/>
  <c r="N72" i="2"/>
  <c r="G67" i="4" s="1"/>
  <c r="M10" i="2"/>
  <c r="F10" i="4" s="1"/>
  <c r="Q34" i="4" l="1"/>
  <c r="R34" i="4"/>
  <c r="V34" i="4"/>
  <c r="W34" i="4" s="1"/>
  <c r="O16" i="4"/>
  <c r="O58" i="4"/>
  <c r="O62" i="4"/>
  <c r="O66" i="4"/>
  <c r="O42" i="4"/>
  <c r="O46" i="4"/>
  <c r="O57" i="4"/>
  <c r="O59" i="4"/>
  <c r="O61" i="4"/>
  <c r="O63" i="4"/>
  <c r="O65" i="4"/>
  <c r="O67" i="4"/>
  <c r="O39" i="4"/>
  <c r="O41" i="4"/>
  <c r="O43" i="4"/>
  <c r="O45" i="4"/>
  <c r="O47" i="4"/>
  <c r="O49" i="4"/>
  <c r="O51" i="4"/>
  <c r="O20" i="4"/>
  <c r="O22" i="4"/>
  <c r="O24" i="4"/>
  <c r="O26" i="4"/>
  <c r="O28" i="4"/>
  <c r="O30" i="4"/>
  <c r="O32" i="4"/>
  <c r="O56" i="4"/>
  <c r="O60" i="4"/>
  <c r="O64" i="4"/>
  <c r="O38" i="4"/>
  <c r="O40" i="4"/>
  <c r="O44" i="4"/>
  <c r="O50" i="4"/>
  <c r="O21" i="4"/>
  <c r="O25" i="4"/>
  <c r="O29" i="4"/>
  <c r="O48" i="4"/>
  <c r="O19" i="4"/>
  <c r="O23" i="4"/>
  <c r="O27" i="4"/>
  <c r="O31" i="4"/>
  <c r="O36" i="4"/>
  <c r="O53" i="4"/>
  <c r="O55" i="4"/>
  <c r="O54" i="4"/>
  <c r="O35" i="4"/>
  <c r="O37" i="4"/>
  <c r="O17" i="4"/>
  <c r="O15" i="4"/>
  <c r="O18" i="4"/>
  <c r="C102" i="3"/>
  <c r="D102" i="3"/>
  <c r="E102" i="3"/>
  <c r="F102" i="3"/>
  <c r="G102" i="3"/>
  <c r="H102" i="3"/>
  <c r="I102" i="3"/>
  <c r="J102" i="3"/>
  <c r="B102" i="3"/>
  <c r="A117" i="3"/>
  <c r="A116" i="3"/>
  <c r="J115" i="3"/>
  <c r="J118" i="3" s="1"/>
  <c r="I115" i="3"/>
  <c r="I118" i="3" s="1"/>
  <c r="H115" i="3"/>
  <c r="H118" i="3" s="1"/>
  <c r="G115" i="3"/>
  <c r="G118" i="3" s="1"/>
  <c r="F115" i="3"/>
  <c r="F118" i="3" s="1"/>
  <c r="E115" i="3"/>
  <c r="E118" i="3" s="1"/>
  <c r="D115" i="3"/>
  <c r="D118" i="3" s="1"/>
  <c r="C115" i="3"/>
  <c r="C118" i="3" s="1"/>
  <c r="B115" i="3"/>
  <c r="B118" i="3" s="1"/>
  <c r="A115" i="3"/>
  <c r="A109" i="3"/>
  <c r="A108" i="3"/>
  <c r="J107" i="3"/>
  <c r="J110" i="3" s="1"/>
  <c r="I107" i="3"/>
  <c r="I110" i="3" s="1"/>
  <c r="H107" i="3"/>
  <c r="H110" i="3" s="1"/>
  <c r="G107" i="3"/>
  <c r="G110" i="3" s="1"/>
  <c r="F107" i="3"/>
  <c r="F110" i="3" s="1"/>
  <c r="E107" i="3"/>
  <c r="E110" i="3" s="1"/>
  <c r="D107" i="3"/>
  <c r="D110" i="3" s="1"/>
  <c r="C107" i="3"/>
  <c r="C110" i="3" s="1"/>
  <c r="B107" i="3"/>
  <c r="B110" i="3" s="1"/>
  <c r="A106" i="3"/>
  <c r="C86" i="3"/>
  <c r="A102" i="3" l="1"/>
  <c r="A118" i="3" l="1"/>
  <c r="A110" i="3"/>
  <c r="U64" i="3" l="1"/>
  <c r="T64" i="3"/>
  <c r="S64" i="3"/>
  <c r="M64" i="3"/>
  <c r="L64" i="3"/>
  <c r="K64" i="3"/>
  <c r="J64" i="3"/>
  <c r="E64" i="3"/>
  <c r="D64" i="3"/>
  <c r="C64" i="3"/>
  <c r="B64" i="3"/>
  <c r="A64" i="3"/>
  <c r="U59" i="3"/>
  <c r="T59" i="3"/>
  <c r="S59" i="3"/>
  <c r="M59" i="3"/>
  <c r="L59" i="3"/>
  <c r="K59" i="3"/>
  <c r="J59" i="3"/>
  <c r="E59" i="3"/>
  <c r="D59" i="3"/>
  <c r="C59" i="3"/>
  <c r="B59" i="3"/>
  <c r="A59" i="3"/>
  <c r="U54" i="3"/>
  <c r="T54" i="3"/>
  <c r="S54" i="3"/>
  <c r="M54" i="3"/>
  <c r="L54" i="3"/>
  <c r="K54" i="3"/>
  <c r="J54" i="3"/>
  <c r="E54" i="3"/>
  <c r="D54" i="3"/>
  <c r="C54" i="3"/>
  <c r="B54" i="3"/>
  <c r="A54" i="3"/>
  <c r="U63" i="3"/>
  <c r="T63" i="3"/>
  <c r="S63" i="3"/>
  <c r="M63" i="3"/>
  <c r="L63" i="3"/>
  <c r="K63" i="3"/>
  <c r="J63" i="3"/>
  <c r="E63" i="3"/>
  <c r="D63" i="3"/>
  <c r="C63" i="3"/>
  <c r="B63" i="3"/>
  <c r="A63" i="3"/>
  <c r="U58" i="3"/>
  <c r="T58" i="3"/>
  <c r="S58" i="3"/>
  <c r="M58" i="3"/>
  <c r="L58" i="3"/>
  <c r="K58" i="3"/>
  <c r="J58" i="3"/>
  <c r="E58" i="3"/>
  <c r="D58" i="3"/>
  <c r="C58" i="3"/>
  <c r="B58" i="3"/>
  <c r="A58" i="3"/>
  <c r="U53" i="3"/>
  <c r="T53" i="3"/>
  <c r="S53" i="3"/>
  <c r="M53" i="3"/>
  <c r="L53" i="3"/>
  <c r="K53" i="3"/>
  <c r="J53" i="3"/>
  <c r="E53" i="3"/>
  <c r="D53" i="3"/>
  <c r="C53" i="3"/>
  <c r="B53" i="3"/>
  <c r="A53" i="3"/>
  <c r="U62" i="3"/>
  <c r="T62" i="3"/>
  <c r="S62" i="3"/>
  <c r="M62" i="3"/>
  <c r="L62" i="3"/>
  <c r="K62" i="3"/>
  <c r="J62" i="3"/>
  <c r="E62" i="3"/>
  <c r="D62" i="3"/>
  <c r="C62" i="3"/>
  <c r="B62" i="3"/>
  <c r="A62" i="3"/>
  <c r="U57" i="3"/>
  <c r="T57" i="3"/>
  <c r="S57" i="3"/>
  <c r="M57" i="3"/>
  <c r="L57" i="3"/>
  <c r="K57" i="3"/>
  <c r="J57" i="3"/>
  <c r="E57" i="3"/>
  <c r="D57" i="3"/>
  <c r="C57" i="3"/>
  <c r="B57" i="3"/>
  <c r="A57" i="3"/>
  <c r="U52" i="3"/>
  <c r="T52" i="3"/>
  <c r="S52" i="3"/>
  <c r="M52" i="3"/>
  <c r="L52" i="3"/>
  <c r="K52" i="3"/>
  <c r="J52" i="3"/>
  <c r="E52" i="3"/>
  <c r="D52" i="3"/>
  <c r="C52" i="3"/>
  <c r="B52" i="3"/>
  <c r="A52" i="3"/>
  <c r="U61" i="3"/>
  <c r="T61" i="3"/>
  <c r="S61" i="3"/>
  <c r="M61" i="3"/>
  <c r="L61" i="3"/>
  <c r="K61" i="3"/>
  <c r="J61" i="3"/>
  <c r="E61" i="3"/>
  <c r="D61" i="3"/>
  <c r="C61" i="3"/>
  <c r="B61" i="3"/>
  <c r="A61" i="3"/>
  <c r="U56" i="3"/>
  <c r="T56" i="3"/>
  <c r="S56" i="3"/>
  <c r="M56" i="3"/>
  <c r="L56" i="3"/>
  <c r="K56" i="3"/>
  <c r="J56" i="3"/>
  <c r="E56" i="3"/>
  <c r="D56" i="3"/>
  <c r="C56" i="3"/>
  <c r="B56" i="3"/>
  <c r="A56" i="3"/>
  <c r="U51" i="3"/>
  <c r="T51" i="3"/>
  <c r="S51" i="3"/>
  <c r="M51" i="3"/>
  <c r="L51" i="3"/>
  <c r="K51" i="3"/>
  <c r="J51" i="3"/>
  <c r="E51" i="3"/>
  <c r="D51" i="3"/>
  <c r="C51" i="3"/>
  <c r="B51" i="3"/>
  <c r="A51" i="3"/>
  <c r="U60" i="3"/>
  <c r="T60" i="3"/>
  <c r="S60" i="3"/>
  <c r="M60" i="3"/>
  <c r="L60" i="3"/>
  <c r="K60" i="3"/>
  <c r="J60" i="3"/>
  <c r="E60" i="3"/>
  <c r="D60" i="3"/>
  <c r="C60" i="3"/>
  <c r="B60" i="3"/>
  <c r="A60" i="3"/>
  <c r="U55" i="3"/>
  <c r="T55" i="3"/>
  <c r="S55" i="3"/>
  <c r="M55" i="3"/>
  <c r="L55" i="3"/>
  <c r="K55" i="3"/>
  <c r="J55" i="3"/>
  <c r="E55" i="3"/>
  <c r="D55" i="3"/>
  <c r="C55" i="3"/>
  <c r="B55" i="3"/>
  <c r="A55" i="3"/>
  <c r="U50" i="3"/>
  <c r="T50" i="3"/>
  <c r="S50" i="3"/>
  <c r="M50" i="3"/>
  <c r="L50" i="3"/>
  <c r="K50" i="3"/>
  <c r="J50" i="3"/>
  <c r="E50" i="3"/>
  <c r="D50" i="3"/>
  <c r="C50" i="3"/>
  <c r="B50" i="3"/>
  <c r="A50" i="3"/>
  <c r="U45" i="3"/>
  <c r="T45" i="3"/>
  <c r="S45" i="3"/>
  <c r="M45" i="3"/>
  <c r="L45" i="3"/>
  <c r="K45" i="3"/>
  <c r="J45" i="3"/>
  <c r="E45" i="3"/>
  <c r="D45" i="3"/>
  <c r="C45" i="3"/>
  <c r="B45" i="3"/>
  <c r="A45" i="3"/>
  <c r="U41" i="3"/>
  <c r="T41" i="3"/>
  <c r="S41" i="3"/>
  <c r="M41" i="3"/>
  <c r="L41" i="3"/>
  <c r="K41" i="3"/>
  <c r="J41" i="3"/>
  <c r="E41" i="3"/>
  <c r="D41" i="3"/>
  <c r="C41" i="3"/>
  <c r="B41" i="3"/>
  <c r="A41" i="3"/>
  <c r="U40" i="3"/>
  <c r="T40" i="3"/>
  <c r="S40" i="3"/>
  <c r="M40" i="3"/>
  <c r="L40" i="3"/>
  <c r="K40" i="3"/>
  <c r="J40" i="3"/>
  <c r="E40" i="3"/>
  <c r="D40" i="3"/>
  <c r="C40" i="3"/>
  <c r="B40" i="3"/>
  <c r="A40" i="3"/>
  <c r="U36" i="3"/>
  <c r="T36" i="3"/>
  <c r="S36" i="3"/>
  <c r="M36" i="3"/>
  <c r="L36" i="3"/>
  <c r="K36" i="3"/>
  <c r="J36" i="3"/>
  <c r="E36" i="3"/>
  <c r="D36" i="3"/>
  <c r="C36" i="3"/>
  <c r="B36" i="3"/>
  <c r="A36" i="3"/>
  <c r="U48" i="3"/>
  <c r="T48" i="3"/>
  <c r="S48" i="3"/>
  <c r="M48" i="3"/>
  <c r="L48" i="3"/>
  <c r="K48" i="3"/>
  <c r="J48" i="3"/>
  <c r="E48" i="3"/>
  <c r="D48" i="3"/>
  <c r="C48" i="3"/>
  <c r="B48" i="3"/>
  <c r="A48" i="3"/>
  <c r="U44" i="3"/>
  <c r="T44" i="3"/>
  <c r="S44" i="3"/>
  <c r="M44" i="3"/>
  <c r="L44" i="3"/>
  <c r="K44" i="3"/>
  <c r="J44" i="3"/>
  <c r="E44" i="3"/>
  <c r="D44" i="3"/>
  <c r="C44" i="3"/>
  <c r="B44" i="3"/>
  <c r="A44" i="3"/>
  <c r="U39" i="3"/>
  <c r="T39" i="3"/>
  <c r="S39" i="3"/>
  <c r="M39" i="3"/>
  <c r="L39" i="3"/>
  <c r="K39" i="3"/>
  <c r="J39" i="3"/>
  <c r="E39" i="3"/>
  <c r="D39" i="3"/>
  <c r="C39" i="3"/>
  <c r="B39" i="3"/>
  <c r="A39" i="3"/>
  <c r="U35" i="3"/>
  <c r="T35" i="3"/>
  <c r="S35" i="3"/>
  <c r="M35" i="3"/>
  <c r="L35" i="3"/>
  <c r="K35" i="3"/>
  <c r="J35" i="3"/>
  <c r="E35" i="3"/>
  <c r="D35" i="3"/>
  <c r="C35" i="3"/>
  <c r="B35" i="3"/>
  <c r="A35" i="3"/>
  <c r="U47" i="3"/>
  <c r="T47" i="3"/>
  <c r="S47" i="3"/>
  <c r="M47" i="3"/>
  <c r="L47" i="3"/>
  <c r="K47" i="3"/>
  <c r="J47" i="3"/>
  <c r="E47" i="3"/>
  <c r="D47" i="3"/>
  <c r="C47" i="3"/>
  <c r="B47" i="3"/>
  <c r="A47" i="3"/>
  <c r="U73" i="3"/>
  <c r="T73" i="3"/>
  <c r="S73" i="3"/>
  <c r="M73" i="3"/>
  <c r="L73" i="3"/>
  <c r="K73" i="3"/>
  <c r="J73" i="3"/>
  <c r="E73" i="3"/>
  <c r="D73" i="3"/>
  <c r="C73" i="3"/>
  <c r="B73" i="3"/>
  <c r="A73" i="3"/>
  <c r="U72" i="3"/>
  <c r="T72" i="3"/>
  <c r="S72" i="3"/>
  <c r="M72" i="3"/>
  <c r="L72" i="3"/>
  <c r="K72" i="3"/>
  <c r="J72" i="3"/>
  <c r="E72" i="3"/>
  <c r="D72" i="3"/>
  <c r="C72" i="3"/>
  <c r="B72" i="3"/>
  <c r="A72" i="3"/>
  <c r="U43" i="3"/>
  <c r="T43" i="3"/>
  <c r="S43" i="3"/>
  <c r="M43" i="3"/>
  <c r="L43" i="3"/>
  <c r="K43" i="3"/>
  <c r="J43" i="3"/>
  <c r="E43" i="3"/>
  <c r="D43" i="3"/>
  <c r="C43" i="3"/>
  <c r="B43" i="3"/>
  <c r="A43" i="3"/>
  <c r="U38" i="3"/>
  <c r="T38" i="3"/>
  <c r="S38" i="3"/>
  <c r="M38" i="3"/>
  <c r="L38" i="3"/>
  <c r="K38" i="3"/>
  <c r="J38" i="3"/>
  <c r="E38" i="3"/>
  <c r="D38" i="3"/>
  <c r="C38" i="3"/>
  <c r="B38" i="3"/>
  <c r="A38" i="3"/>
  <c r="U34" i="3"/>
  <c r="T34" i="3"/>
  <c r="S34" i="3"/>
  <c r="M34" i="3"/>
  <c r="L34" i="3"/>
  <c r="K34" i="3"/>
  <c r="J34" i="3"/>
  <c r="E34" i="3"/>
  <c r="D34" i="3"/>
  <c r="C34" i="3"/>
  <c r="B34" i="3"/>
  <c r="A34" i="3"/>
  <c r="U46" i="3"/>
  <c r="T46" i="3"/>
  <c r="S46" i="3"/>
  <c r="M46" i="3"/>
  <c r="L46" i="3"/>
  <c r="K46" i="3"/>
  <c r="J46" i="3"/>
  <c r="E46" i="3"/>
  <c r="D46" i="3"/>
  <c r="C46" i="3"/>
  <c r="B46" i="3"/>
  <c r="A46" i="3"/>
  <c r="U42" i="3"/>
  <c r="T42" i="3"/>
  <c r="S42" i="3"/>
  <c r="M42" i="3"/>
  <c r="L42" i="3"/>
  <c r="K42" i="3"/>
  <c r="J42" i="3"/>
  <c r="E42" i="3"/>
  <c r="D42" i="3"/>
  <c r="C42" i="3"/>
  <c r="B42" i="3"/>
  <c r="A42" i="3"/>
  <c r="U37" i="3"/>
  <c r="T37" i="3"/>
  <c r="S37" i="3"/>
  <c r="M37" i="3"/>
  <c r="L37" i="3"/>
  <c r="K37" i="3"/>
  <c r="J37" i="3"/>
  <c r="E37" i="3"/>
  <c r="D37" i="3"/>
  <c r="C37" i="3"/>
  <c r="B37" i="3"/>
  <c r="A37" i="3"/>
  <c r="U29" i="3"/>
  <c r="T29" i="3"/>
  <c r="S29" i="3"/>
  <c r="M29" i="3"/>
  <c r="L29" i="3"/>
  <c r="K29" i="3"/>
  <c r="J29" i="3"/>
  <c r="E29" i="3"/>
  <c r="D29" i="3"/>
  <c r="C29" i="3"/>
  <c r="B29" i="3"/>
  <c r="A29" i="3"/>
  <c r="U24" i="3"/>
  <c r="T24" i="3"/>
  <c r="S24" i="3"/>
  <c r="M24" i="3"/>
  <c r="L24" i="3"/>
  <c r="K24" i="3"/>
  <c r="J24" i="3"/>
  <c r="E24" i="3"/>
  <c r="D24" i="3"/>
  <c r="C24" i="3"/>
  <c r="B24" i="3"/>
  <c r="A24" i="3"/>
  <c r="U19" i="3"/>
  <c r="T19" i="3"/>
  <c r="S19" i="3"/>
  <c r="M19" i="3"/>
  <c r="L19" i="3"/>
  <c r="K19" i="3"/>
  <c r="J19" i="3"/>
  <c r="E19" i="3"/>
  <c r="D19" i="3"/>
  <c r="C19" i="3"/>
  <c r="B19" i="3"/>
  <c r="A19" i="3"/>
  <c r="U28" i="3"/>
  <c r="T28" i="3"/>
  <c r="S28" i="3"/>
  <c r="M28" i="3"/>
  <c r="L28" i="3"/>
  <c r="K28" i="3"/>
  <c r="J28" i="3"/>
  <c r="E28" i="3"/>
  <c r="D28" i="3"/>
  <c r="C28" i="3"/>
  <c r="B28" i="3"/>
  <c r="A28" i="3"/>
  <c r="U23" i="3"/>
  <c r="T23" i="3"/>
  <c r="S23" i="3"/>
  <c r="M23" i="3"/>
  <c r="L23" i="3"/>
  <c r="K23" i="3"/>
  <c r="J23" i="3"/>
  <c r="E23" i="3"/>
  <c r="D23" i="3"/>
  <c r="C23" i="3"/>
  <c r="B23" i="3"/>
  <c r="A23" i="3"/>
  <c r="U18" i="3"/>
  <c r="T18" i="3"/>
  <c r="S18" i="3"/>
  <c r="M18" i="3"/>
  <c r="L18" i="3"/>
  <c r="K18" i="3"/>
  <c r="J18" i="3"/>
  <c r="E18" i="3"/>
  <c r="D18" i="3"/>
  <c r="C18" i="3"/>
  <c r="B18" i="3"/>
  <c r="A18" i="3"/>
  <c r="U70" i="3"/>
  <c r="T70" i="3"/>
  <c r="S70" i="3"/>
  <c r="M70" i="3"/>
  <c r="L70" i="3"/>
  <c r="K70" i="3"/>
  <c r="J70" i="3"/>
  <c r="E70" i="3"/>
  <c r="D70" i="3"/>
  <c r="C70" i="3"/>
  <c r="B70" i="3"/>
  <c r="A70" i="3"/>
  <c r="U27" i="3"/>
  <c r="T27" i="3"/>
  <c r="S27" i="3"/>
  <c r="M27" i="3"/>
  <c r="L27" i="3"/>
  <c r="K27" i="3"/>
  <c r="J27" i="3"/>
  <c r="E27" i="3"/>
  <c r="D27" i="3"/>
  <c r="C27" i="3"/>
  <c r="B27" i="3"/>
  <c r="A27" i="3"/>
  <c r="U22" i="3"/>
  <c r="T22" i="3"/>
  <c r="S22" i="3"/>
  <c r="M22" i="3"/>
  <c r="L22" i="3"/>
  <c r="K22" i="3"/>
  <c r="J22" i="3"/>
  <c r="E22" i="3"/>
  <c r="D22" i="3"/>
  <c r="C22" i="3"/>
  <c r="B22" i="3"/>
  <c r="A22" i="3"/>
  <c r="U71" i="3"/>
  <c r="T71" i="3"/>
  <c r="S71" i="3"/>
  <c r="M71" i="3"/>
  <c r="L71" i="3"/>
  <c r="K71" i="3"/>
  <c r="J71" i="3"/>
  <c r="E71" i="3"/>
  <c r="D71" i="3"/>
  <c r="C71" i="3"/>
  <c r="B71" i="3"/>
  <c r="A71" i="3"/>
  <c r="U31" i="3"/>
  <c r="T31" i="3"/>
  <c r="S31" i="3"/>
  <c r="M31" i="3"/>
  <c r="L31" i="3"/>
  <c r="K31" i="3"/>
  <c r="J31" i="3"/>
  <c r="E31" i="3"/>
  <c r="D31" i="3"/>
  <c r="C31" i="3"/>
  <c r="B31" i="3"/>
  <c r="A31" i="3"/>
  <c r="U26" i="3"/>
  <c r="T26" i="3"/>
  <c r="S26" i="3"/>
  <c r="M26" i="3"/>
  <c r="L26" i="3"/>
  <c r="K26" i="3"/>
  <c r="J26" i="3"/>
  <c r="E26" i="3"/>
  <c r="D26" i="3"/>
  <c r="C26" i="3"/>
  <c r="B26" i="3"/>
  <c r="A26" i="3"/>
  <c r="U21" i="3"/>
  <c r="T21" i="3"/>
  <c r="S21" i="3"/>
  <c r="M21" i="3"/>
  <c r="L21" i="3"/>
  <c r="K21" i="3"/>
  <c r="J21" i="3"/>
  <c r="E21" i="3"/>
  <c r="D21" i="3"/>
  <c r="C21" i="3"/>
  <c r="B21" i="3"/>
  <c r="A21" i="3"/>
  <c r="U17" i="3"/>
  <c r="T17" i="3"/>
  <c r="S17" i="3"/>
  <c r="M17" i="3"/>
  <c r="L17" i="3"/>
  <c r="K17" i="3"/>
  <c r="J17" i="3"/>
  <c r="E17" i="3"/>
  <c r="D17" i="3"/>
  <c r="C17" i="3"/>
  <c r="B17" i="3"/>
  <c r="A17" i="3"/>
  <c r="U30" i="3"/>
  <c r="T30" i="3"/>
  <c r="S30" i="3"/>
  <c r="P30" i="3"/>
  <c r="M30" i="3"/>
  <c r="L30" i="3"/>
  <c r="K30" i="3"/>
  <c r="J30" i="3"/>
  <c r="E30" i="3"/>
  <c r="D30" i="3"/>
  <c r="C30" i="3"/>
  <c r="B30" i="3"/>
  <c r="A30" i="3"/>
  <c r="U25" i="3"/>
  <c r="T25" i="3"/>
  <c r="S25" i="3"/>
  <c r="M25" i="3"/>
  <c r="L25" i="3"/>
  <c r="K25" i="3"/>
  <c r="J25" i="3"/>
  <c r="E25" i="3"/>
  <c r="D25" i="3"/>
  <c r="C25" i="3"/>
  <c r="B25" i="3"/>
  <c r="A25" i="3"/>
  <c r="U20" i="3"/>
  <c r="T20" i="3"/>
  <c r="S20" i="3"/>
  <c r="M20" i="3"/>
  <c r="L20" i="3"/>
  <c r="K20" i="3"/>
  <c r="J20" i="3"/>
  <c r="E20" i="3"/>
  <c r="D20" i="3"/>
  <c r="C20" i="3"/>
  <c r="B20" i="3"/>
  <c r="A20" i="3"/>
  <c r="U16" i="3"/>
  <c r="T16" i="3"/>
  <c r="S16" i="3"/>
  <c r="M16" i="3"/>
  <c r="L16" i="3"/>
  <c r="K16" i="3"/>
  <c r="J16" i="3"/>
  <c r="E16" i="3"/>
  <c r="D16" i="3"/>
  <c r="C16" i="3"/>
  <c r="B16" i="3"/>
  <c r="A16" i="3"/>
  <c r="U15" i="3"/>
  <c r="T15" i="3"/>
  <c r="S15" i="3"/>
  <c r="M15" i="3"/>
  <c r="L15" i="3"/>
  <c r="K15" i="3"/>
  <c r="J15" i="3"/>
  <c r="E15" i="3"/>
  <c r="D15" i="3"/>
  <c r="C15" i="3"/>
  <c r="B15" i="3"/>
  <c r="A15" i="3"/>
  <c r="Z13" i="3"/>
  <c r="Y13" i="3"/>
  <c r="X13" i="3"/>
  <c r="W13" i="3"/>
  <c r="V13" i="3"/>
  <c r="U13" i="3"/>
  <c r="T13" i="3"/>
  <c r="S13" i="3"/>
  <c r="R13" i="3"/>
  <c r="Q13" i="3"/>
  <c r="P13" i="3"/>
  <c r="O13" i="3"/>
  <c r="M13" i="3"/>
  <c r="L13" i="3"/>
  <c r="K13" i="3"/>
  <c r="J13" i="3"/>
  <c r="E13" i="3"/>
  <c r="D13" i="3"/>
  <c r="C13" i="3"/>
  <c r="B13" i="3"/>
  <c r="A13" i="3"/>
  <c r="Z12" i="3"/>
  <c r="Y12" i="3"/>
  <c r="X12" i="3"/>
  <c r="W12" i="3"/>
  <c r="V12" i="3"/>
  <c r="U12" i="3"/>
  <c r="T12" i="3"/>
  <c r="S12" i="3"/>
  <c r="R12" i="3"/>
  <c r="Q12" i="3"/>
  <c r="P12" i="3"/>
  <c r="O12" i="3"/>
  <c r="M12" i="3"/>
  <c r="L12" i="3"/>
  <c r="K12" i="3"/>
  <c r="J12" i="3"/>
  <c r="E12" i="3"/>
  <c r="D12" i="3"/>
  <c r="C12" i="3"/>
  <c r="B12" i="3"/>
  <c r="A12" i="3"/>
  <c r="Z11" i="3"/>
  <c r="Y11" i="3"/>
  <c r="X11" i="3"/>
  <c r="W11" i="3"/>
  <c r="V11" i="3"/>
  <c r="U11" i="3"/>
  <c r="T11" i="3"/>
  <c r="S11" i="3"/>
  <c r="R11" i="3"/>
  <c r="Q11" i="3"/>
  <c r="P11" i="3"/>
  <c r="O11" i="3"/>
  <c r="M11" i="3"/>
  <c r="L11" i="3"/>
  <c r="K11" i="3"/>
  <c r="J11" i="3"/>
  <c r="E11" i="3"/>
  <c r="D11" i="3"/>
  <c r="C11" i="3"/>
  <c r="B11" i="3"/>
  <c r="A11" i="3"/>
  <c r="Z10" i="3"/>
  <c r="Y10" i="3"/>
  <c r="X10" i="3"/>
  <c r="W10" i="3"/>
  <c r="V10" i="3"/>
  <c r="U10" i="3"/>
  <c r="T10" i="3"/>
  <c r="S10" i="3"/>
  <c r="R10" i="3"/>
  <c r="Q10" i="3"/>
  <c r="P10" i="3"/>
  <c r="O10" i="3"/>
  <c r="L10" i="3"/>
  <c r="K10" i="3"/>
  <c r="J10" i="3"/>
  <c r="E10" i="3"/>
  <c r="D10" i="3"/>
  <c r="C10" i="3"/>
  <c r="B10" i="3"/>
  <c r="A10" i="3"/>
  <c r="P16" i="1"/>
  <c r="P17" i="1"/>
  <c r="P15" i="3" s="1"/>
  <c r="P18" i="1"/>
  <c r="P19" i="1"/>
  <c r="P20" i="3" s="1"/>
  <c r="P20" i="1"/>
  <c r="P21" i="1"/>
  <c r="P22" i="1"/>
  <c r="P26" i="1" s="1"/>
  <c r="P31" i="3" s="1"/>
  <c r="P23" i="1"/>
  <c r="P27" i="1"/>
  <c r="P26" i="3" s="1"/>
  <c r="P15" i="1"/>
  <c r="P5" i="2"/>
  <c r="Q5" i="2"/>
  <c r="P30" i="1" l="1"/>
  <c r="P27" i="3" s="1"/>
  <c r="P31" i="1"/>
  <c r="P70" i="3" s="1"/>
  <c r="P25" i="3"/>
  <c r="P24" i="1"/>
  <c r="P17" i="3" s="1"/>
  <c r="P28" i="1"/>
  <c r="P71" i="3" s="1"/>
  <c r="P16" i="3"/>
  <c r="P29" i="1"/>
  <c r="P22" i="3" s="1"/>
  <c r="P25" i="1"/>
  <c r="P21" i="3" s="1"/>
  <c r="R5" i="2"/>
  <c r="Q2" i="2"/>
  <c r="R2" i="2"/>
  <c r="Q3" i="2"/>
  <c r="R3" i="2"/>
  <c r="Q4" i="2"/>
  <c r="R4" i="2"/>
  <c r="Q6" i="2"/>
  <c r="R6" i="2"/>
  <c r="Q7" i="2"/>
  <c r="R7" i="2"/>
  <c r="P3" i="2"/>
  <c r="P4" i="2"/>
  <c r="P6" i="2"/>
  <c r="P7" i="2"/>
  <c r="P2" i="2"/>
  <c r="O39" i="1"/>
  <c r="P39" i="1"/>
  <c r="V39" i="1"/>
  <c r="R39" i="1" l="1"/>
  <c r="O37" i="2"/>
  <c r="K34" i="4" s="1"/>
  <c r="M34" i="4" s="1"/>
  <c r="O33" i="3"/>
  <c r="X39" i="1"/>
  <c r="V37" i="2"/>
  <c r="V33" i="3"/>
  <c r="P33" i="3"/>
  <c r="P37" i="2"/>
  <c r="Q39" i="1"/>
  <c r="W39" i="1"/>
  <c r="W11" i="2"/>
  <c r="A12" i="2"/>
  <c r="A12" i="4" s="1"/>
  <c r="B12" i="2"/>
  <c r="B12" i="4" s="1"/>
  <c r="C12" i="2"/>
  <c r="C12" i="4" s="1"/>
  <c r="D12" i="2"/>
  <c r="D12" i="4" s="1"/>
  <c r="E12" i="2"/>
  <c r="E12" i="4" s="1"/>
  <c r="J12" i="2"/>
  <c r="K12" i="2"/>
  <c r="L12" i="2"/>
  <c r="J12" i="4" s="1"/>
  <c r="O12" i="2"/>
  <c r="K11" i="4" s="1"/>
  <c r="P12" i="2"/>
  <c r="Q12" i="2"/>
  <c r="I12" i="4" s="1"/>
  <c r="R12" i="2"/>
  <c r="V12" i="2"/>
  <c r="W12" i="2"/>
  <c r="X12" i="2"/>
  <c r="Y12" i="2"/>
  <c r="Z12" i="2"/>
  <c r="A13" i="2"/>
  <c r="A13" i="4" s="1"/>
  <c r="B13" i="2"/>
  <c r="B13" i="4" s="1"/>
  <c r="C13" i="2"/>
  <c r="C13" i="4" s="1"/>
  <c r="D13" i="2"/>
  <c r="D13" i="4" s="1"/>
  <c r="E13" i="2"/>
  <c r="E13" i="4" s="1"/>
  <c r="J13" i="2"/>
  <c r="K13" i="2"/>
  <c r="L13" i="2"/>
  <c r="J13" i="4" s="1"/>
  <c r="O13" i="2"/>
  <c r="K13" i="4" s="1"/>
  <c r="P13" i="2"/>
  <c r="Q13" i="2"/>
  <c r="I13" i="4" s="1"/>
  <c r="R13" i="2"/>
  <c r="A15" i="2"/>
  <c r="B15" i="2"/>
  <c r="C15" i="2"/>
  <c r="D15" i="2"/>
  <c r="E15" i="2"/>
  <c r="J15" i="2"/>
  <c r="K15" i="2"/>
  <c r="L15" i="2"/>
  <c r="M15" i="2"/>
  <c r="A16" i="2"/>
  <c r="A15" i="4" s="1"/>
  <c r="B16" i="2"/>
  <c r="B15" i="4" s="1"/>
  <c r="C16" i="2"/>
  <c r="C15" i="4" s="1"/>
  <c r="D16" i="2"/>
  <c r="D15" i="4" s="1"/>
  <c r="E16" i="2"/>
  <c r="E15" i="4" s="1"/>
  <c r="J16" i="2"/>
  <c r="K16" i="2"/>
  <c r="L16" i="2"/>
  <c r="J15" i="4" s="1"/>
  <c r="M16" i="2"/>
  <c r="F15" i="4" s="1"/>
  <c r="A17" i="2"/>
  <c r="A16" i="4" s="1"/>
  <c r="B17" i="2"/>
  <c r="B16" i="4" s="1"/>
  <c r="C17" i="2"/>
  <c r="C16" i="4" s="1"/>
  <c r="D17" i="2"/>
  <c r="D16" i="4" s="1"/>
  <c r="E17" i="2"/>
  <c r="E16" i="4" s="1"/>
  <c r="J17" i="2"/>
  <c r="K17" i="2"/>
  <c r="L17" i="2"/>
  <c r="J16" i="4" s="1"/>
  <c r="M17" i="2"/>
  <c r="F16" i="4" s="1"/>
  <c r="A18" i="2"/>
  <c r="A17" i="4" s="1"/>
  <c r="B18" i="2"/>
  <c r="B17" i="4" s="1"/>
  <c r="C18" i="2"/>
  <c r="C17" i="4" s="1"/>
  <c r="D18" i="2"/>
  <c r="D17" i="4" s="1"/>
  <c r="E18" i="2"/>
  <c r="E17" i="4" s="1"/>
  <c r="J18" i="2"/>
  <c r="K18" i="2"/>
  <c r="L18" i="2"/>
  <c r="J17" i="4" s="1"/>
  <c r="M18" i="2"/>
  <c r="F17" i="4" s="1"/>
  <c r="A19" i="2"/>
  <c r="A18" i="4" s="1"/>
  <c r="B19" i="2"/>
  <c r="B18" i="4" s="1"/>
  <c r="C19" i="2"/>
  <c r="C18" i="4" s="1"/>
  <c r="D19" i="2"/>
  <c r="D18" i="4" s="1"/>
  <c r="E19" i="2"/>
  <c r="E18" i="4" s="1"/>
  <c r="J19" i="2"/>
  <c r="K19" i="2"/>
  <c r="L19" i="2"/>
  <c r="J18" i="4" s="1"/>
  <c r="M19" i="2"/>
  <c r="F18" i="4" s="1"/>
  <c r="A20" i="2"/>
  <c r="A19" i="4" s="1"/>
  <c r="B20" i="2"/>
  <c r="B19" i="4" s="1"/>
  <c r="C20" i="2"/>
  <c r="C19" i="4" s="1"/>
  <c r="D20" i="2"/>
  <c r="D19" i="4" s="1"/>
  <c r="E20" i="2"/>
  <c r="E19" i="4" s="1"/>
  <c r="J20" i="2"/>
  <c r="K20" i="2"/>
  <c r="L20" i="2"/>
  <c r="J19" i="4" s="1"/>
  <c r="M20" i="2"/>
  <c r="F19" i="4" s="1"/>
  <c r="A21" i="2"/>
  <c r="A20" i="4" s="1"/>
  <c r="B21" i="2"/>
  <c r="B20" i="4" s="1"/>
  <c r="C21" i="2"/>
  <c r="C20" i="4" s="1"/>
  <c r="D21" i="2"/>
  <c r="D20" i="4" s="1"/>
  <c r="E21" i="2"/>
  <c r="E20" i="4" s="1"/>
  <c r="J21" i="2"/>
  <c r="K21" i="2"/>
  <c r="L21" i="2"/>
  <c r="J20" i="4" s="1"/>
  <c r="M21" i="2"/>
  <c r="F20" i="4" s="1"/>
  <c r="A23" i="2"/>
  <c r="A22" i="4" s="1"/>
  <c r="B23" i="2"/>
  <c r="B22" i="4" s="1"/>
  <c r="C23" i="2"/>
  <c r="C22" i="4" s="1"/>
  <c r="D23" i="2"/>
  <c r="D22" i="4" s="1"/>
  <c r="E23" i="2"/>
  <c r="E22" i="4" s="1"/>
  <c r="J23" i="2"/>
  <c r="K23" i="2"/>
  <c r="L23" i="2"/>
  <c r="J22" i="4" s="1"/>
  <c r="M23" i="2"/>
  <c r="F22" i="4" s="1"/>
  <c r="A22" i="2"/>
  <c r="A21" i="4" s="1"/>
  <c r="B22" i="2"/>
  <c r="B21" i="4" s="1"/>
  <c r="C22" i="2"/>
  <c r="C21" i="4" s="1"/>
  <c r="D22" i="2"/>
  <c r="D21" i="4" s="1"/>
  <c r="E22" i="2"/>
  <c r="E21" i="4" s="1"/>
  <c r="J22" i="2"/>
  <c r="K22" i="2"/>
  <c r="L22" i="2"/>
  <c r="J21" i="4" s="1"/>
  <c r="M22" i="2"/>
  <c r="F21" i="4" s="1"/>
  <c r="A25" i="2"/>
  <c r="A23" i="4" s="1"/>
  <c r="B25" i="2"/>
  <c r="B23" i="4" s="1"/>
  <c r="C25" i="2"/>
  <c r="C23" i="4" s="1"/>
  <c r="D25" i="2"/>
  <c r="D23" i="4" s="1"/>
  <c r="E25" i="2"/>
  <c r="E23" i="4" s="1"/>
  <c r="J25" i="2"/>
  <c r="K25" i="2"/>
  <c r="L25" i="2"/>
  <c r="J23" i="4" s="1"/>
  <c r="M25" i="2"/>
  <c r="F23" i="4" s="1"/>
  <c r="A26" i="2"/>
  <c r="A24" i="4" s="1"/>
  <c r="B26" i="2"/>
  <c r="B24" i="4" s="1"/>
  <c r="C26" i="2"/>
  <c r="C24" i="4" s="1"/>
  <c r="D26" i="2"/>
  <c r="D24" i="4" s="1"/>
  <c r="E26" i="2"/>
  <c r="E24" i="4" s="1"/>
  <c r="J26" i="2"/>
  <c r="K26" i="2"/>
  <c r="L26" i="2"/>
  <c r="J24" i="4" s="1"/>
  <c r="M26" i="2"/>
  <c r="F24" i="4" s="1"/>
  <c r="A27" i="2"/>
  <c r="A25" i="4" s="1"/>
  <c r="B27" i="2"/>
  <c r="B25" i="4" s="1"/>
  <c r="C27" i="2"/>
  <c r="C25" i="4" s="1"/>
  <c r="D27" i="2"/>
  <c r="D25" i="4" s="1"/>
  <c r="E27" i="2"/>
  <c r="E25" i="4" s="1"/>
  <c r="J27" i="2"/>
  <c r="K27" i="2"/>
  <c r="L27" i="2"/>
  <c r="J25" i="4" s="1"/>
  <c r="M27" i="2"/>
  <c r="F25" i="4" s="1"/>
  <c r="A28" i="2"/>
  <c r="A26" i="4" s="1"/>
  <c r="B28" i="2"/>
  <c r="B26" i="4" s="1"/>
  <c r="C28" i="2"/>
  <c r="C26" i="4" s="1"/>
  <c r="D28" i="2"/>
  <c r="D26" i="4" s="1"/>
  <c r="E28" i="2"/>
  <c r="E26" i="4" s="1"/>
  <c r="J28" i="2"/>
  <c r="K28" i="2"/>
  <c r="L28" i="2"/>
  <c r="J26" i="4" s="1"/>
  <c r="M28" i="2"/>
  <c r="F26" i="4" s="1"/>
  <c r="A30" i="2"/>
  <c r="A27" i="4" s="1"/>
  <c r="B30" i="2"/>
  <c r="B27" i="4" s="1"/>
  <c r="C30" i="2"/>
  <c r="C27" i="4" s="1"/>
  <c r="D30" i="2"/>
  <c r="D27" i="4" s="1"/>
  <c r="E30" i="2"/>
  <c r="E27" i="4" s="1"/>
  <c r="J30" i="2"/>
  <c r="K30" i="2"/>
  <c r="L30" i="2"/>
  <c r="J27" i="4" s="1"/>
  <c r="M30" i="2"/>
  <c r="F27" i="4" s="1"/>
  <c r="A31" i="2"/>
  <c r="A28" i="4" s="1"/>
  <c r="B31" i="2"/>
  <c r="B28" i="4" s="1"/>
  <c r="C31" i="2"/>
  <c r="C28" i="4" s="1"/>
  <c r="D31" i="2"/>
  <c r="D28" i="4" s="1"/>
  <c r="E31" i="2"/>
  <c r="E28" i="4" s="1"/>
  <c r="J31" i="2"/>
  <c r="K31" i="2"/>
  <c r="L31" i="2"/>
  <c r="J28" i="4" s="1"/>
  <c r="M31" i="2"/>
  <c r="F28" i="4" s="1"/>
  <c r="A32" i="2"/>
  <c r="A29" i="4" s="1"/>
  <c r="B32" i="2"/>
  <c r="B29" i="4" s="1"/>
  <c r="C32" i="2"/>
  <c r="C29" i="4" s="1"/>
  <c r="D32" i="2"/>
  <c r="D29" i="4" s="1"/>
  <c r="E32" i="2"/>
  <c r="E29" i="4" s="1"/>
  <c r="J32" i="2"/>
  <c r="K32" i="2"/>
  <c r="L32" i="2"/>
  <c r="J29" i="4" s="1"/>
  <c r="M32" i="2"/>
  <c r="F29" i="4" s="1"/>
  <c r="A33" i="2"/>
  <c r="A30" i="4" s="1"/>
  <c r="B33" i="2"/>
  <c r="B30" i="4" s="1"/>
  <c r="C33" i="2"/>
  <c r="C30" i="4" s="1"/>
  <c r="D33" i="2"/>
  <c r="D30" i="4" s="1"/>
  <c r="E33" i="2"/>
  <c r="E30" i="4" s="1"/>
  <c r="J33" i="2"/>
  <c r="K33" i="2"/>
  <c r="L33" i="2"/>
  <c r="J30" i="4" s="1"/>
  <c r="M33" i="2"/>
  <c r="F30" i="4" s="1"/>
  <c r="A34" i="2"/>
  <c r="A31" i="4" s="1"/>
  <c r="B34" i="2"/>
  <c r="B31" i="4" s="1"/>
  <c r="C34" i="2"/>
  <c r="C31" i="4" s="1"/>
  <c r="D34" i="2"/>
  <c r="D31" i="4" s="1"/>
  <c r="E34" i="2"/>
  <c r="E31" i="4" s="1"/>
  <c r="J34" i="2"/>
  <c r="K34" i="2"/>
  <c r="L34" i="2"/>
  <c r="J31" i="4" s="1"/>
  <c r="M34" i="2"/>
  <c r="F31" i="4" s="1"/>
  <c r="A35" i="2"/>
  <c r="A32" i="4" s="1"/>
  <c r="B35" i="2"/>
  <c r="B32" i="4" s="1"/>
  <c r="C35" i="2"/>
  <c r="C32" i="4" s="1"/>
  <c r="D35" i="2"/>
  <c r="D32" i="4" s="1"/>
  <c r="E35" i="2"/>
  <c r="E32" i="4" s="1"/>
  <c r="J35" i="2"/>
  <c r="K35" i="2"/>
  <c r="L35" i="2"/>
  <c r="J32" i="4" s="1"/>
  <c r="M35" i="2"/>
  <c r="F32" i="4" s="1"/>
  <c r="A38" i="2"/>
  <c r="A35" i="4" s="1"/>
  <c r="B38" i="2"/>
  <c r="B35" i="4" s="1"/>
  <c r="C38" i="2"/>
  <c r="C35" i="4" s="1"/>
  <c r="D38" i="2"/>
  <c r="D35" i="4" s="1"/>
  <c r="E38" i="2"/>
  <c r="E35" i="4" s="1"/>
  <c r="J38" i="2"/>
  <c r="K38" i="2"/>
  <c r="L38" i="2"/>
  <c r="J35" i="4" s="1"/>
  <c r="M38" i="2"/>
  <c r="F35" i="4" s="1"/>
  <c r="A39" i="2"/>
  <c r="A36" i="4" s="1"/>
  <c r="B39" i="2"/>
  <c r="B36" i="4" s="1"/>
  <c r="C39" i="2"/>
  <c r="C36" i="4" s="1"/>
  <c r="D39" i="2"/>
  <c r="D36" i="4" s="1"/>
  <c r="E39" i="2"/>
  <c r="E36" i="4" s="1"/>
  <c r="J39" i="2"/>
  <c r="K39" i="2"/>
  <c r="L39" i="2"/>
  <c r="J36" i="4" s="1"/>
  <c r="M39" i="2"/>
  <c r="F36" i="4" s="1"/>
  <c r="A40" i="2"/>
  <c r="A37" i="4" s="1"/>
  <c r="B40" i="2"/>
  <c r="B37" i="4" s="1"/>
  <c r="C40" i="2"/>
  <c r="C37" i="4" s="1"/>
  <c r="D40" i="2"/>
  <c r="D37" i="4" s="1"/>
  <c r="E40" i="2"/>
  <c r="E37" i="4" s="1"/>
  <c r="J40" i="2"/>
  <c r="K40" i="2"/>
  <c r="L40" i="2"/>
  <c r="J37" i="4" s="1"/>
  <c r="M40" i="2"/>
  <c r="F37" i="4" s="1"/>
  <c r="A42" i="2"/>
  <c r="A38" i="4" s="1"/>
  <c r="B42" i="2"/>
  <c r="B38" i="4" s="1"/>
  <c r="C42" i="2"/>
  <c r="C38" i="4" s="1"/>
  <c r="D42" i="2"/>
  <c r="D38" i="4" s="1"/>
  <c r="E42" i="2"/>
  <c r="E38" i="4" s="1"/>
  <c r="J42" i="2"/>
  <c r="K42" i="2"/>
  <c r="L42" i="2"/>
  <c r="J38" i="4" s="1"/>
  <c r="M42" i="2"/>
  <c r="F38" i="4" s="1"/>
  <c r="A43" i="2"/>
  <c r="A39" i="4" s="1"/>
  <c r="B43" i="2"/>
  <c r="B39" i="4" s="1"/>
  <c r="C43" i="2"/>
  <c r="C39" i="4" s="1"/>
  <c r="D43" i="2"/>
  <c r="D39" i="4" s="1"/>
  <c r="E43" i="2"/>
  <c r="E39" i="4" s="1"/>
  <c r="J43" i="2"/>
  <c r="K43" i="2"/>
  <c r="L43" i="2"/>
  <c r="J39" i="4" s="1"/>
  <c r="M43" i="2"/>
  <c r="F39" i="4" s="1"/>
  <c r="A44" i="2"/>
  <c r="A40" i="4" s="1"/>
  <c r="B44" i="2"/>
  <c r="B40" i="4" s="1"/>
  <c r="C44" i="2"/>
  <c r="C40" i="4" s="1"/>
  <c r="D44" i="2"/>
  <c r="D40" i="4" s="1"/>
  <c r="E44" i="2"/>
  <c r="E40" i="4" s="1"/>
  <c r="J44" i="2"/>
  <c r="K44" i="2"/>
  <c r="L44" i="2"/>
  <c r="J40" i="4" s="1"/>
  <c r="M44" i="2"/>
  <c r="F40" i="4" s="1"/>
  <c r="A45" i="2"/>
  <c r="A41" i="4" s="1"/>
  <c r="B45" i="2"/>
  <c r="B41" i="4" s="1"/>
  <c r="C45" i="2"/>
  <c r="C41" i="4" s="1"/>
  <c r="D45" i="2"/>
  <c r="D41" i="4" s="1"/>
  <c r="E45" i="2"/>
  <c r="E41" i="4" s="1"/>
  <c r="J45" i="2"/>
  <c r="K45" i="2"/>
  <c r="L45" i="2"/>
  <c r="J41" i="4" s="1"/>
  <c r="M45" i="2"/>
  <c r="F41" i="4" s="1"/>
  <c r="A46" i="2"/>
  <c r="A42" i="4" s="1"/>
  <c r="B46" i="2"/>
  <c r="B42" i="4" s="1"/>
  <c r="C46" i="2"/>
  <c r="C42" i="4" s="1"/>
  <c r="D46" i="2"/>
  <c r="D42" i="4" s="1"/>
  <c r="E46" i="2"/>
  <c r="E42" i="4" s="1"/>
  <c r="J46" i="2"/>
  <c r="K46" i="2"/>
  <c r="L46" i="2"/>
  <c r="J42" i="4" s="1"/>
  <c r="M46" i="2"/>
  <c r="F42" i="4" s="1"/>
  <c r="A47" i="2"/>
  <c r="A43" i="4" s="1"/>
  <c r="B47" i="2"/>
  <c r="B43" i="4" s="1"/>
  <c r="C47" i="2"/>
  <c r="C43" i="4" s="1"/>
  <c r="D47" i="2"/>
  <c r="D43" i="4" s="1"/>
  <c r="E47" i="2"/>
  <c r="E43" i="4" s="1"/>
  <c r="J47" i="2"/>
  <c r="K47" i="2"/>
  <c r="L47" i="2"/>
  <c r="J43" i="4" s="1"/>
  <c r="M47" i="2"/>
  <c r="F43" i="4" s="1"/>
  <c r="A49" i="2"/>
  <c r="A44" i="4" s="1"/>
  <c r="B49" i="2"/>
  <c r="B44" i="4" s="1"/>
  <c r="C49" i="2"/>
  <c r="C44" i="4" s="1"/>
  <c r="D49" i="2"/>
  <c r="D44" i="4" s="1"/>
  <c r="E49" i="2"/>
  <c r="E44" i="4" s="1"/>
  <c r="J49" i="2"/>
  <c r="K49" i="2"/>
  <c r="L49" i="2"/>
  <c r="J44" i="4" s="1"/>
  <c r="M49" i="2"/>
  <c r="F44" i="4" s="1"/>
  <c r="A50" i="2"/>
  <c r="A45" i="4" s="1"/>
  <c r="B50" i="2"/>
  <c r="B45" i="4" s="1"/>
  <c r="C50" i="2"/>
  <c r="C45" i="4" s="1"/>
  <c r="D50" i="2"/>
  <c r="D45" i="4" s="1"/>
  <c r="E50" i="2"/>
  <c r="E45" i="4" s="1"/>
  <c r="J50" i="2"/>
  <c r="K50" i="2"/>
  <c r="L50" i="2"/>
  <c r="J45" i="4" s="1"/>
  <c r="M50" i="2"/>
  <c r="F45" i="4" s="1"/>
  <c r="A51" i="2"/>
  <c r="A46" i="4" s="1"/>
  <c r="B51" i="2"/>
  <c r="B46" i="4" s="1"/>
  <c r="C51" i="2"/>
  <c r="C46" i="4" s="1"/>
  <c r="D51" i="2"/>
  <c r="D46" i="4" s="1"/>
  <c r="E51" i="2"/>
  <c r="E46" i="4" s="1"/>
  <c r="J51" i="2"/>
  <c r="K51" i="2"/>
  <c r="L51" i="2"/>
  <c r="J46" i="4" s="1"/>
  <c r="M51" i="2"/>
  <c r="F46" i="4" s="1"/>
  <c r="A52" i="2"/>
  <c r="A47" i="4" s="1"/>
  <c r="B52" i="2"/>
  <c r="B47" i="4" s="1"/>
  <c r="C52" i="2"/>
  <c r="C47" i="4" s="1"/>
  <c r="D52" i="2"/>
  <c r="D47" i="4" s="1"/>
  <c r="E52" i="2"/>
  <c r="E47" i="4" s="1"/>
  <c r="J52" i="2"/>
  <c r="K52" i="2"/>
  <c r="L52" i="2"/>
  <c r="J47" i="4" s="1"/>
  <c r="M52" i="2"/>
  <c r="F47" i="4" s="1"/>
  <c r="A53" i="2"/>
  <c r="A48" i="4" s="1"/>
  <c r="B53" i="2"/>
  <c r="B48" i="4" s="1"/>
  <c r="C53" i="2"/>
  <c r="C48" i="4" s="1"/>
  <c r="D53" i="2"/>
  <c r="D48" i="4" s="1"/>
  <c r="E53" i="2"/>
  <c r="E48" i="4" s="1"/>
  <c r="J53" i="2"/>
  <c r="K53" i="2"/>
  <c r="L53" i="2"/>
  <c r="J48" i="4" s="1"/>
  <c r="M53" i="2"/>
  <c r="F48" i="4" s="1"/>
  <c r="A54" i="2"/>
  <c r="A49" i="4" s="1"/>
  <c r="B54" i="2"/>
  <c r="B49" i="4" s="1"/>
  <c r="C54" i="2"/>
  <c r="C49" i="4" s="1"/>
  <c r="D54" i="2"/>
  <c r="D49" i="4" s="1"/>
  <c r="E54" i="2"/>
  <c r="E49" i="4" s="1"/>
  <c r="J54" i="2"/>
  <c r="K54" i="2"/>
  <c r="L54" i="2"/>
  <c r="J49" i="4" s="1"/>
  <c r="M54" i="2"/>
  <c r="F49" i="4" s="1"/>
  <c r="A56" i="2"/>
  <c r="A51" i="4" s="1"/>
  <c r="B56" i="2"/>
  <c r="B51" i="4" s="1"/>
  <c r="C56" i="2"/>
  <c r="C51" i="4" s="1"/>
  <c r="D56" i="2"/>
  <c r="D51" i="4" s="1"/>
  <c r="E56" i="2"/>
  <c r="E51" i="4" s="1"/>
  <c r="J56" i="2"/>
  <c r="K56" i="2"/>
  <c r="L56" i="2"/>
  <c r="J51" i="4" s="1"/>
  <c r="M56" i="2"/>
  <c r="F51" i="4" s="1"/>
  <c r="A55" i="2"/>
  <c r="A50" i="4" s="1"/>
  <c r="B55" i="2"/>
  <c r="B50" i="4" s="1"/>
  <c r="C55" i="2"/>
  <c r="C50" i="4" s="1"/>
  <c r="D55" i="2"/>
  <c r="D50" i="4" s="1"/>
  <c r="E55" i="2"/>
  <c r="E50" i="4" s="1"/>
  <c r="J55" i="2"/>
  <c r="K55" i="2"/>
  <c r="L55" i="2"/>
  <c r="J50" i="4" s="1"/>
  <c r="M55" i="2"/>
  <c r="F50" i="4" s="1"/>
  <c r="A58" i="2"/>
  <c r="A53" i="4" s="1"/>
  <c r="B58" i="2"/>
  <c r="B53" i="4" s="1"/>
  <c r="C58" i="2"/>
  <c r="C53" i="4" s="1"/>
  <c r="D58" i="2"/>
  <c r="D53" i="4" s="1"/>
  <c r="E58" i="2"/>
  <c r="E53" i="4" s="1"/>
  <c r="J58" i="2"/>
  <c r="K58" i="2"/>
  <c r="L58" i="2"/>
  <c r="J53" i="4" s="1"/>
  <c r="M58" i="2"/>
  <c r="F53" i="4" s="1"/>
  <c r="A59" i="2"/>
  <c r="A54" i="4" s="1"/>
  <c r="B59" i="2"/>
  <c r="B54" i="4" s="1"/>
  <c r="C59" i="2"/>
  <c r="C54" i="4" s="1"/>
  <c r="D59" i="2"/>
  <c r="D54" i="4" s="1"/>
  <c r="E59" i="2"/>
  <c r="E54" i="4" s="1"/>
  <c r="J59" i="2"/>
  <c r="K59" i="2"/>
  <c r="L59" i="2"/>
  <c r="J54" i="4" s="1"/>
  <c r="M59" i="2"/>
  <c r="F54" i="4" s="1"/>
  <c r="A60" i="2"/>
  <c r="A55" i="4" s="1"/>
  <c r="B60" i="2"/>
  <c r="B55" i="4" s="1"/>
  <c r="C60" i="2"/>
  <c r="C55" i="4" s="1"/>
  <c r="D60" i="2"/>
  <c r="D55" i="4" s="1"/>
  <c r="E60" i="2"/>
  <c r="E55" i="4" s="1"/>
  <c r="J60" i="2"/>
  <c r="K60" i="2"/>
  <c r="L60" i="2"/>
  <c r="J55" i="4" s="1"/>
  <c r="M60" i="2"/>
  <c r="F55" i="4" s="1"/>
  <c r="A61" i="2"/>
  <c r="A56" i="4" s="1"/>
  <c r="B61" i="2"/>
  <c r="B56" i="4" s="1"/>
  <c r="C61" i="2"/>
  <c r="C56" i="4" s="1"/>
  <c r="D61" i="2"/>
  <c r="D56" i="4" s="1"/>
  <c r="E61" i="2"/>
  <c r="E56" i="4" s="1"/>
  <c r="J61" i="2"/>
  <c r="K61" i="2"/>
  <c r="L61" i="2"/>
  <c r="J56" i="4" s="1"/>
  <c r="M61" i="2"/>
  <c r="F56" i="4" s="1"/>
  <c r="A62" i="2"/>
  <c r="A57" i="4" s="1"/>
  <c r="B62" i="2"/>
  <c r="B57" i="4" s="1"/>
  <c r="C62" i="2"/>
  <c r="C57" i="4" s="1"/>
  <c r="D62" i="2"/>
  <c r="D57" i="4" s="1"/>
  <c r="E62" i="2"/>
  <c r="E57" i="4" s="1"/>
  <c r="J62" i="2"/>
  <c r="K62" i="2"/>
  <c r="L62" i="2"/>
  <c r="J57" i="4" s="1"/>
  <c r="M62" i="2"/>
  <c r="F57" i="4" s="1"/>
  <c r="A63" i="2"/>
  <c r="A58" i="4" s="1"/>
  <c r="B63" i="2"/>
  <c r="B58" i="4" s="1"/>
  <c r="C63" i="2"/>
  <c r="C58" i="4" s="1"/>
  <c r="D63" i="2"/>
  <c r="D58" i="4" s="1"/>
  <c r="E63" i="2"/>
  <c r="E58" i="4" s="1"/>
  <c r="J63" i="2"/>
  <c r="K63" i="2"/>
  <c r="L63" i="2"/>
  <c r="J58" i="4" s="1"/>
  <c r="M63" i="2"/>
  <c r="F58" i="4" s="1"/>
  <c r="A64" i="2"/>
  <c r="A59" i="4" s="1"/>
  <c r="B64" i="2"/>
  <c r="B59" i="4" s="1"/>
  <c r="C64" i="2"/>
  <c r="C59" i="4" s="1"/>
  <c r="D64" i="2"/>
  <c r="D59" i="4" s="1"/>
  <c r="E64" i="2"/>
  <c r="E59" i="4" s="1"/>
  <c r="J64" i="2"/>
  <c r="K64" i="2"/>
  <c r="L64" i="2"/>
  <c r="J59" i="4" s="1"/>
  <c r="M64" i="2"/>
  <c r="F59" i="4" s="1"/>
  <c r="A65" i="2"/>
  <c r="A60" i="4" s="1"/>
  <c r="B65" i="2"/>
  <c r="B60" i="4" s="1"/>
  <c r="C65" i="2"/>
  <c r="C60" i="4" s="1"/>
  <c r="D65" i="2"/>
  <c r="D60" i="4" s="1"/>
  <c r="E65" i="2"/>
  <c r="E60" i="4" s="1"/>
  <c r="J65" i="2"/>
  <c r="K65" i="2"/>
  <c r="L65" i="2"/>
  <c r="J60" i="4" s="1"/>
  <c r="M65" i="2"/>
  <c r="F60" i="4" s="1"/>
  <c r="A66" i="2"/>
  <c r="A61" i="4" s="1"/>
  <c r="B66" i="2"/>
  <c r="B61" i="4" s="1"/>
  <c r="C66" i="2"/>
  <c r="C61" i="4" s="1"/>
  <c r="D66" i="2"/>
  <c r="D61" i="4" s="1"/>
  <c r="E66" i="2"/>
  <c r="E61" i="4" s="1"/>
  <c r="J66" i="2"/>
  <c r="K66" i="2"/>
  <c r="L66" i="2"/>
  <c r="J61" i="4" s="1"/>
  <c r="M66" i="2"/>
  <c r="F61" i="4" s="1"/>
  <c r="A67" i="2"/>
  <c r="A62" i="4" s="1"/>
  <c r="B67" i="2"/>
  <c r="B62" i="4" s="1"/>
  <c r="C67" i="2"/>
  <c r="C62" i="4" s="1"/>
  <c r="D67" i="2"/>
  <c r="D62" i="4" s="1"/>
  <c r="E67" i="2"/>
  <c r="E62" i="4" s="1"/>
  <c r="J67" i="2"/>
  <c r="K67" i="2"/>
  <c r="L67" i="2"/>
  <c r="J62" i="4" s="1"/>
  <c r="M67" i="2"/>
  <c r="F62" i="4" s="1"/>
  <c r="A68" i="2"/>
  <c r="A63" i="4" s="1"/>
  <c r="B68" i="2"/>
  <c r="B63" i="4" s="1"/>
  <c r="C68" i="2"/>
  <c r="C63" i="4" s="1"/>
  <c r="D68" i="2"/>
  <c r="D63" i="4" s="1"/>
  <c r="E68" i="2"/>
  <c r="E63" i="4" s="1"/>
  <c r="J68" i="2"/>
  <c r="K68" i="2"/>
  <c r="L68" i="2"/>
  <c r="J63" i="4" s="1"/>
  <c r="M68" i="2"/>
  <c r="F63" i="4" s="1"/>
  <c r="A69" i="2"/>
  <c r="A64" i="4" s="1"/>
  <c r="B69" i="2"/>
  <c r="B64" i="4" s="1"/>
  <c r="C69" i="2"/>
  <c r="C64" i="4" s="1"/>
  <c r="D69" i="2"/>
  <c r="D64" i="4" s="1"/>
  <c r="E69" i="2"/>
  <c r="E64" i="4" s="1"/>
  <c r="J69" i="2"/>
  <c r="K69" i="2"/>
  <c r="L69" i="2"/>
  <c r="J64" i="4" s="1"/>
  <c r="M69" i="2"/>
  <c r="F64" i="4" s="1"/>
  <c r="A70" i="2"/>
  <c r="A65" i="4" s="1"/>
  <c r="B70" i="2"/>
  <c r="B65" i="4" s="1"/>
  <c r="C70" i="2"/>
  <c r="C65" i="4" s="1"/>
  <c r="D70" i="2"/>
  <c r="D65" i="4" s="1"/>
  <c r="E70" i="2"/>
  <c r="E65" i="4" s="1"/>
  <c r="J70" i="2"/>
  <c r="K70" i="2"/>
  <c r="L70" i="2"/>
  <c r="J65" i="4" s="1"/>
  <c r="M70" i="2"/>
  <c r="F65" i="4" s="1"/>
  <c r="A71" i="2"/>
  <c r="A66" i="4" s="1"/>
  <c r="B71" i="2"/>
  <c r="B66" i="4" s="1"/>
  <c r="C71" i="2"/>
  <c r="C66" i="4" s="1"/>
  <c r="D71" i="2"/>
  <c r="D66" i="4" s="1"/>
  <c r="E71" i="2"/>
  <c r="E66" i="4" s="1"/>
  <c r="J71" i="2"/>
  <c r="K71" i="2"/>
  <c r="L71" i="2"/>
  <c r="J66" i="4" s="1"/>
  <c r="M71" i="2"/>
  <c r="F66" i="4" s="1"/>
  <c r="A72" i="2"/>
  <c r="A67" i="4" s="1"/>
  <c r="B72" i="2"/>
  <c r="B67" i="4" s="1"/>
  <c r="C72" i="2"/>
  <c r="C67" i="4" s="1"/>
  <c r="D72" i="2"/>
  <c r="D67" i="4" s="1"/>
  <c r="E72" i="2"/>
  <c r="E67" i="4" s="1"/>
  <c r="J72" i="2"/>
  <c r="K72" i="2"/>
  <c r="L72" i="2"/>
  <c r="J67" i="4" s="1"/>
  <c r="M72" i="2"/>
  <c r="F67" i="4" s="1"/>
  <c r="J10" i="2"/>
  <c r="K10" i="2"/>
  <c r="L10" i="2"/>
  <c r="J10" i="4" s="1"/>
  <c r="O10" i="2"/>
  <c r="K10" i="4" s="1"/>
  <c r="P10" i="2"/>
  <c r="Q10" i="2"/>
  <c r="I10" i="4" s="1"/>
  <c r="R10" i="2"/>
  <c r="V10" i="2"/>
  <c r="W10" i="2"/>
  <c r="X10" i="2"/>
  <c r="Y10" i="2"/>
  <c r="Z10" i="2"/>
  <c r="Y39" i="1" l="1"/>
  <c r="Q33" i="3"/>
  <c r="Q37" i="2"/>
  <c r="I34" i="4" s="1"/>
  <c r="Z39" i="1"/>
  <c r="R33" i="3"/>
  <c r="R37" i="2"/>
  <c r="X37" i="2"/>
  <c r="X33" i="3"/>
  <c r="W33" i="3"/>
  <c r="W37" i="2"/>
  <c r="S34" i="4"/>
  <c r="X34" i="4"/>
  <c r="Z34" i="4"/>
  <c r="AA34" i="4" s="1"/>
  <c r="L64" i="4"/>
  <c r="P64" i="4"/>
  <c r="P62" i="4"/>
  <c r="L62" i="4"/>
  <c r="L60" i="4"/>
  <c r="P60" i="4"/>
  <c r="L58" i="4"/>
  <c r="P58" i="4"/>
  <c r="P50" i="4"/>
  <c r="L50" i="4"/>
  <c r="P49" i="4"/>
  <c r="L49" i="4"/>
  <c r="L47" i="4"/>
  <c r="P47" i="4"/>
  <c r="P45" i="4"/>
  <c r="L45" i="4"/>
  <c r="L41" i="4"/>
  <c r="P41" i="4"/>
  <c r="L67" i="4"/>
  <c r="P67" i="4"/>
  <c r="P65" i="4"/>
  <c r="L65" i="4"/>
  <c r="L63" i="4"/>
  <c r="P63" i="4"/>
  <c r="P61" i="4"/>
  <c r="L61" i="4"/>
  <c r="P59" i="4"/>
  <c r="L59" i="4"/>
  <c r="P57" i="4"/>
  <c r="L57" i="4"/>
  <c r="P51" i="4"/>
  <c r="L51" i="4"/>
  <c r="L48" i="4"/>
  <c r="P48" i="4"/>
  <c r="L46" i="4"/>
  <c r="P46" i="4"/>
  <c r="L44" i="4"/>
  <c r="P44" i="4"/>
  <c r="P42" i="4"/>
  <c r="L42" i="4"/>
  <c r="P40" i="4"/>
  <c r="L40" i="4"/>
  <c r="L38" i="4"/>
  <c r="P38" i="4"/>
  <c r="L32" i="4"/>
  <c r="P32" i="4"/>
  <c r="P30" i="4"/>
  <c r="L30" i="4"/>
  <c r="L28" i="4"/>
  <c r="P28" i="4"/>
  <c r="P26" i="4"/>
  <c r="L26" i="4"/>
  <c r="P24" i="4"/>
  <c r="L24" i="4"/>
  <c r="P21" i="4"/>
  <c r="L21" i="4"/>
  <c r="L20" i="4"/>
  <c r="P20" i="4"/>
  <c r="P66" i="4"/>
  <c r="L66" i="4"/>
  <c r="L56" i="4"/>
  <c r="P56" i="4"/>
  <c r="L43" i="4"/>
  <c r="P43" i="4"/>
  <c r="P39" i="4"/>
  <c r="L39" i="4"/>
  <c r="L31" i="4"/>
  <c r="P31" i="4"/>
  <c r="P29" i="4"/>
  <c r="L29" i="4"/>
  <c r="L27" i="4"/>
  <c r="P27" i="4"/>
  <c r="P25" i="4"/>
  <c r="L25" i="4"/>
  <c r="P23" i="4"/>
  <c r="L23" i="4"/>
  <c r="L22" i="4"/>
  <c r="P22" i="4"/>
  <c r="L19" i="4"/>
  <c r="P19" i="4"/>
  <c r="L55" i="4"/>
  <c r="P55" i="4"/>
  <c r="P54" i="4"/>
  <c r="L54" i="4"/>
  <c r="L53" i="4"/>
  <c r="P53" i="4"/>
  <c r="L37" i="4"/>
  <c r="P37" i="4"/>
  <c r="L36" i="4"/>
  <c r="P36" i="4"/>
  <c r="L35" i="4"/>
  <c r="P35" i="4"/>
  <c r="L18" i="4"/>
  <c r="P18" i="4"/>
  <c r="L17" i="4"/>
  <c r="P17" i="4"/>
  <c r="L16" i="4"/>
  <c r="P16" i="4"/>
  <c r="L15" i="4"/>
  <c r="P15" i="4"/>
  <c r="O16" i="1"/>
  <c r="Q16" i="1" s="1"/>
  <c r="V16" i="1"/>
  <c r="O17" i="1"/>
  <c r="V17" i="1"/>
  <c r="O18" i="1"/>
  <c r="O16" i="3" s="1"/>
  <c r="P16" i="2"/>
  <c r="V18" i="1"/>
  <c r="O19" i="1"/>
  <c r="V19" i="1"/>
  <c r="O20" i="1"/>
  <c r="O25" i="3" s="1"/>
  <c r="P18" i="2"/>
  <c r="Q20" i="1"/>
  <c r="V20" i="1"/>
  <c r="O21" i="1"/>
  <c r="V21" i="1"/>
  <c r="O22" i="1"/>
  <c r="O30" i="3" s="1"/>
  <c r="P19" i="2"/>
  <c r="V22" i="1"/>
  <c r="O23" i="1"/>
  <c r="V23" i="1"/>
  <c r="O24" i="1"/>
  <c r="V24" i="1"/>
  <c r="O25" i="1"/>
  <c r="V25" i="1"/>
  <c r="O26" i="1"/>
  <c r="V26" i="1"/>
  <c r="O27" i="1"/>
  <c r="V27" i="1"/>
  <c r="O28" i="1"/>
  <c r="V28" i="1"/>
  <c r="O29" i="1"/>
  <c r="V29" i="1"/>
  <c r="O30" i="1"/>
  <c r="V30" i="1"/>
  <c r="O31" i="1"/>
  <c r="V31" i="1"/>
  <c r="O32" i="1"/>
  <c r="P32" i="1"/>
  <c r="P18" i="3" s="1"/>
  <c r="V32" i="1"/>
  <c r="O33" i="1"/>
  <c r="P33" i="1"/>
  <c r="P23" i="3" s="1"/>
  <c r="V33" i="1"/>
  <c r="W33" i="1"/>
  <c r="O34" i="1"/>
  <c r="P34" i="1"/>
  <c r="P28" i="3" s="1"/>
  <c r="V34" i="1"/>
  <c r="O35" i="1"/>
  <c r="P35" i="1"/>
  <c r="P19" i="3" s="1"/>
  <c r="V35" i="1"/>
  <c r="O36" i="1"/>
  <c r="P36" i="1"/>
  <c r="P24" i="3" s="1"/>
  <c r="V36" i="1"/>
  <c r="O37" i="1"/>
  <c r="P37" i="1"/>
  <c r="P29" i="3" s="1"/>
  <c r="V37" i="1"/>
  <c r="O40" i="1"/>
  <c r="P40" i="1"/>
  <c r="P37" i="3" s="1"/>
  <c r="V40" i="1"/>
  <c r="O41" i="1"/>
  <c r="P41" i="1"/>
  <c r="P42" i="3" s="1"/>
  <c r="V41" i="1"/>
  <c r="O42" i="1"/>
  <c r="P42" i="1"/>
  <c r="P46" i="3" s="1"/>
  <c r="V42" i="1"/>
  <c r="O43" i="1"/>
  <c r="P43" i="1"/>
  <c r="P34" i="3" s="1"/>
  <c r="V43" i="1"/>
  <c r="O44" i="1"/>
  <c r="P44" i="1"/>
  <c r="P38" i="3" s="1"/>
  <c r="V44" i="1"/>
  <c r="O45" i="1"/>
  <c r="P45" i="1"/>
  <c r="P43" i="3" s="1"/>
  <c r="V45" i="1"/>
  <c r="O46" i="1"/>
  <c r="P46" i="1"/>
  <c r="P72" i="3" s="1"/>
  <c r="V46" i="1"/>
  <c r="O47" i="1"/>
  <c r="O73" i="3" s="1"/>
  <c r="P47" i="1"/>
  <c r="Q47" i="1"/>
  <c r="V47" i="1"/>
  <c r="O48" i="1"/>
  <c r="P48" i="1"/>
  <c r="P47" i="3" s="1"/>
  <c r="V48" i="1"/>
  <c r="O49" i="1"/>
  <c r="O35" i="3" s="1"/>
  <c r="P49" i="1"/>
  <c r="V49" i="1"/>
  <c r="O50" i="1"/>
  <c r="P50" i="1"/>
  <c r="P39" i="3" s="1"/>
  <c r="V50" i="1"/>
  <c r="O51" i="1"/>
  <c r="O44" i="3" s="1"/>
  <c r="P51" i="1"/>
  <c r="Q51" i="1" s="1"/>
  <c r="V51" i="1"/>
  <c r="O52" i="1"/>
  <c r="P52" i="1"/>
  <c r="P48" i="3" s="1"/>
  <c r="V52" i="1"/>
  <c r="O53" i="1"/>
  <c r="O36" i="3" s="1"/>
  <c r="P53" i="1"/>
  <c r="V53" i="1"/>
  <c r="O54" i="1"/>
  <c r="P54" i="1"/>
  <c r="P40" i="3" s="1"/>
  <c r="V54" i="1"/>
  <c r="O55" i="1"/>
  <c r="O45" i="3" s="1"/>
  <c r="P55" i="1"/>
  <c r="V55" i="1"/>
  <c r="O56" i="1"/>
  <c r="P56" i="1"/>
  <c r="P41" i="3" s="1"/>
  <c r="V56" i="1"/>
  <c r="O58" i="1"/>
  <c r="P58" i="1"/>
  <c r="V58" i="1"/>
  <c r="W58" i="1" s="1"/>
  <c r="O59" i="1"/>
  <c r="P59" i="1"/>
  <c r="V59" i="1"/>
  <c r="O60" i="1"/>
  <c r="P60" i="1"/>
  <c r="V60" i="1"/>
  <c r="O61" i="1"/>
  <c r="P61" i="1"/>
  <c r="V61" i="1"/>
  <c r="O62" i="1"/>
  <c r="P62" i="1"/>
  <c r="R62" i="1" s="1"/>
  <c r="V62" i="1"/>
  <c r="W62" i="1" s="1"/>
  <c r="O63" i="1"/>
  <c r="P63" i="1"/>
  <c r="P50" i="3" s="1"/>
  <c r="V63" i="1"/>
  <c r="O64" i="1"/>
  <c r="P64" i="1"/>
  <c r="R64" i="1" s="1"/>
  <c r="V64" i="1"/>
  <c r="O65" i="1"/>
  <c r="P65" i="1"/>
  <c r="P60" i="3" s="1"/>
  <c r="V65" i="1"/>
  <c r="O66" i="1"/>
  <c r="O51" i="3" s="1"/>
  <c r="P66" i="1"/>
  <c r="V66" i="1"/>
  <c r="O67" i="1"/>
  <c r="P67" i="1"/>
  <c r="P56" i="3" s="1"/>
  <c r="V67" i="1"/>
  <c r="O68" i="1"/>
  <c r="P68" i="1"/>
  <c r="V68" i="1"/>
  <c r="O69" i="1"/>
  <c r="P69" i="1"/>
  <c r="P52" i="3" s="1"/>
  <c r="V69" i="1"/>
  <c r="O70" i="1"/>
  <c r="P70" i="1"/>
  <c r="V70" i="1"/>
  <c r="O71" i="1"/>
  <c r="O62" i="3" s="1"/>
  <c r="P71" i="1"/>
  <c r="V71" i="1"/>
  <c r="O72" i="1"/>
  <c r="P72" i="1"/>
  <c r="P53" i="3" s="1"/>
  <c r="V72" i="1"/>
  <c r="O73" i="1"/>
  <c r="O58" i="3" s="1"/>
  <c r="P73" i="1"/>
  <c r="V73" i="1"/>
  <c r="O74" i="1"/>
  <c r="P74" i="1"/>
  <c r="P63" i="3" s="1"/>
  <c r="V74" i="1"/>
  <c r="O75" i="1"/>
  <c r="O54" i="3" s="1"/>
  <c r="P75" i="1"/>
  <c r="V75" i="1"/>
  <c r="O76" i="1"/>
  <c r="P76" i="1"/>
  <c r="P59" i="3" s="1"/>
  <c r="V76" i="1"/>
  <c r="O77" i="1"/>
  <c r="P77" i="1"/>
  <c r="P64" i="3" s="1"/>
  <c r="V77" i="1"/>
  <c r="V15" i="1"/>
  <c r="O15" i="1"/>
  <c r="Q15" i="1" s="1"/>
  <c r="W25" i="1" l="1"/>
  <c r="W23" i="1"/>
  <c r="AB34" i="4"/>
  <c r="Q51" i="2"/>
  <c r="I46" i="4" s="1"/>
  <c r="Q44" i="3"/>
  <c r="W21" i="2"/>
  <c r="W21" i="3"/>
  <c r="O72" i="2"/>
  <c r="K67" i="4" s="1"/>
  <c r="M67" i="4" s="1"/>
  <c r="O64" i="3"/>
  <c r="X75" i="1"/>
  <c r="V54" i="3"/>
  <c r="V70" i="2"/>
  <c r="P68" i="2"/>
  <c r="P58" i="3"/>
  <c r="O67" i="2"/>
  <c r="K62" i="4" s="1"/>
  <c r="M62" i="4" s="1"/>
  <c r="O53" i="3"/>
  <c r="V57" i="3"/>
  <c r="V65" i="2"/>
  <c r="P63" i="2"/>
  <c r="P61" i="3"/>
  <c r="O62" i="2"/>
  <c r="K57" i="4" s="1"/>
  <c r="M57" i="4" s="1"/>
  <c r="O56" i="3"/>
  <c r="V60" i="3"/>
  <c r="V60" i="2"/>
  <c r="V55" i="3"/>
  <c r="V59" i="2"/>
  <c r="V50" i="3"/>
  <c r="V58" i="2"/>
  <c r="W56" i="1"/>
  <c r="V41" i="3"/>
  <c r="V55" i="2"/>
  <c r="Q55" i="1"/>
  <c r="Y55" i="1" s="1"/>
  <c r="X51" i="1"/>
  <c r="V44" i="3"/>
  <c r="V51" i="2"/>
  <c r="W50" i="1"/>
  <c r="V39" i="3"/>
  <c r="V50" i="2"/>
  <c r="P49" i="2"/>
  <c r="P35" i="3"/>
  <c r="O47" i="2"/>
  <c r="K43" i="4" s="1"/>
  <c r="M43" i="4" s="1"/>
  <c r="O47" i="3"/>
  <c r="W45" i="1"/>
  <c r="V43" i="3"/>
  <c r="V44" i="2"/>
  <c r="O42" i="2"/>
  <c r="K38" i="4" s="1"/>
  <c r="M38" i="4" s="1"/>
  <c r="O34" i="3"/>
  <c r="X41" i="1"/>
  <c r="V42" i="3"/>
  <c r="V39" i="2"/>
  <c r="O35" i="2"/>
  <c r="K32" i="4" s="1"/>
  <c r="M32" i="4" s="1"/>
  <c r="O29" i="3"/>
  <c r="W35" i="1"/>
  <c r="V19" i="3"/>
  <c r="V33" i="2"/>
  <c r="O30" i="2"/>
  <c r="K27" i="4" s="1"/>
  <c r="M27" i="4" s="1"/>
  <c r="O18" i="3"/>
  <c r="O27" i="2"/>
  <c r="K25" i="4" s="1"/>
  <c r="M25" i="4" s="1"/>
  <c r="O27" i="3"/>
  <c r="O25" i="2"/>
  <c r="K23" i="4" s="1"/>
  <c r="M23" i="4" s="1"/>
  <c r="O71" i="3"/>
  <c r="O23" i="2"/>
  <c r="K22" i="4" s="1"/>
  <c r="M22" i="4" s="1"/>
  <c r="O31" i="3"/>
  <c r="X24" i="1"/>
  <c r="X17" i="3" s="1"/>
  <c r="V17" i="3"/>
  <c r="V20" i="2"/>
  <c r="X22" i="1"/>
  <c r="V30" i="3"/>
  <c r="V19" i="2"/>
  <c r="Z37" i="2"/>
  <c r="Z33" i="3"/>
  <c r="O69" i="2"/>
  <c r="K64" i="4" s="1"/>
  <c r="M64" i="4" s="1"/>
  <c r="O63" i="3"/>
  <c r="X71" i="1"/>
  <c r="V62" i="3"/>
  <c r="V66" i="2"/>
  <c r="P65" i="2"/>
  <c r="P57" i="3"/>
  <c r="O64" i="2"/>
  <c r="K59" i="4" s="1"/>
  <c r="M59" i="4" s="1"/>
  <c r="O52" i="3"/>
  <c r="O63" i="2"/>
  <c r="K58" i="4" s="1"/>
  <c r="M58" i="4" s="1"/>
  <c r="O61" i="3"/>
  <c r="W66" i="1"/>
  <c r="V51" i="3"/>
  <c r="V61" i="2"/>
  <c r="R59" i="2"/>
  <c r="R55" i="3"/>
  <c r="P56" i="2"/>
  <c r="P45" i="3"/>
  <c r="O54" i="2"/>
  <c r="K49" i="4" s="1"/>
  <c r="M49" i="4" s="1"/>
  <c r="O40" i="3"/>
  <c r="W52" i="1"/>
  <c r="V48" i="3"/>
  <c r="V52" i="2"/>
  <c r="X47" i="1"/>
  <c r="V73" i="3"/>
  <c r="V46" i="2"/>
  <c r="W46" i="1"/>
  <c r="V72" i="3"/>
  <c r="V45" i="2"/>
  <c r="O43" i="2"/>
  <c r="K39" i="4" s="1"/>
  <c r="M39" i="4" s="1"/>
  <c r="O38" i="3"/>
  <c r="W42" i="1"/>
  <c r="V46" i="3"/>
  <c r="V40" i="2"/>
  <c r="O38" i="2"/>
  <c r="K35" i="4" s="1"/>
  <c r="M35" i="4" s="1"/>
  <c r="O37" i="3"/>
  <c r="V24" i="3"/>
  <c r="V34" i="2"/>
  <c r="O32" i="2"/>
  <c r="K29" i="4" s="1"/>
  <c r="M29" i="4" s="1"/>
  <c r="O28" i="3"/>
  <c r="O31" i="2"/>
  <c r="K28" i="4" s="1"/>
  <c r="M28" i="4" s="1"/>
  <c r="S28" i="4" s="1"/>
  <c r="O23" i="3"/>
  <c r="W31" i="1"/>
  <c r="V70" i="3"/>
  <c r="V28" i="2"/>
  <c r="V22" i="3"/>
  <c r="V26" i="2"/>
  <c r="W27" i="1"/>
  <c r="V26" i="3"/>
  <c r="V22" i="2"/>
  <c r="O20" i="2"/>
  <c r="K19" i="4" s="1"/>
  <c r="M19" i="4" s="1"/>
  <c r="O17" i="3"/>
  <c r="X20" i="1"/>
  <c r="V25" i="3"/>
  <c r="V18" i="2"/>
  <c r="W19" i="1"/>
  <c r="V20" i="3"/>
  <c r="V17" i="2"/>
  <c r="W76" i="1"/>
  <c r="V59" i="3"/>
  <c r="V71" i="2"/>
  <c r="V64" i="3"/>
  <c r="V72" i="2"/>
  <c r="X73" i="1"/>
  <c r="V58" i="3"/>
  <c r="V68" i="2"/>
  <c r="W72" i="1"/>
  <c r="V53" i="3"/>
  <c r="V67" i="2"/>
  <c r="P66" i="2"/>
  <c r="P62" i="3"/>
  <c r="O65" i="2"/>
  <c r="K60" i="4" s="1"/>
  <c r="M60" i="4" s="1"/>
  <c r="O57" i="3"/>
  <c r="V61" i="3"/>
  <c r="V63" i="2"/>
  <c r="V56" i="3"/>
  <c r="V62" i="2"/>
  <c r="P61" i="2"/>
  <c r="P51" i="3"/>
  <c r="O60" i="2"/>
  <c r="K55" i="4" s="1"/>
  <c r="M55" i="4" s="1"/>
  <c r="O60" i="3"/>
  <c r="P59" i="2"/>
  <c r="P55" i="3"/>
  <c r="O58" i="2"/>
  <c r="K53" i="4" s="1"/>
  <c r="M53" i="4" s="1"/>
  <c r="O50" i="3"/>
  <c r="O55" i="2"/>
  <c r="K50" i="4" s="1"/>
  <c r="M50" i="4" s="1"/>
  <c r="O41" i="3"/>
  <c r="X53" i="1"/>
  <c r="V36" i="3"/>
  <c r="V53" i="2"/>
  <c r="P51" i="2"/>
  <c r="P44" i="3"/>
  <c r="O50" i="2"/>
  <c r="K45" i="4" s="1"/>
  <c r="M45" i="4" s="1"/>
  <c r="O39" i="3"/>
  <c r="W48" i="1"/>
  <c r="V47" i="3"/>
  <c r="V47" i="2"/>
  <c r="Q46" i="2"/>
  <c r="I42" i="4" s="1"/>
  <c r="Q73" i="3"/>
  <c r="O44" i="2"/>
  <c r="K40" i="4" s="1"/>
  <c r="M40" i="4" s="1"/>
  <c r="O43" i="3"/>
  <c r="X43" i="1"/>
  <c r="V34" i="3"/>
  <c r="V42" i="2"/>
  <c r="O39" i="2"/>
  <c r="K36" i="4" s="1"/>
  <c r="M36" i="4" s="1"/>
  <c r="O42" i="3"/>
  <c r="V29" i="3"/>
  <c r="V35" i="2"/>
  <c r="O33" i="2"/>
  <c r="K30" i="4" s="1"/>
  <c r="M30" i="4" s="1"/>
  <c r="O19" i="3"/>
  <c r="W31" i="2"/>
  <c r="W23" i="3"/>
  <c r="X32" i="1"/>
  <c r="V18" i="3"/>
  <c r="V30" i="2"/>
  <c r="O28" i="2"/>
  <c r="K26" i="4" s="1"/>
  <c r="M26" i="4" s="1"/>
  <c r="O70" i="3"/>
  <c r="O26" i="2"/>
  <c r="K24" i="4" s="1"/>
  <c r="M24" i="4" s="1"/>
  <c r="O22" i="3"/>
  <c r="O22" i="2"/>
  <c r="K21" i="4" s="1"/>
  <c r="M21" i="4" s="1"/>
  <c r="O26" i="3"/>
  <c r="V21" i="3"/>
  <c r="V21" i="2"/>
  <c r="Q18" i="2"/>
  <c r="I17" i="4" s="1"/>
  <c r="Q25" i="3"/>
  <c r="O17" i="2"/>
  <c r="K16" i="4" s="1"/>
  <c r="M16" i="4" s="1"/>
  <c r="O20" i="3"/>
  <c r="W17" i="1"/>
  <c r="V15" i="3"/>
  <c r="V15" i="2"/>
  <c r="P70" i="2"/>
  <c r="P54" i="3"/>
  <c r="O71" i="2"/>
  <c r="K66" i="4" s="1"/>
  <c r="M66" i="4" s="1"/>
  <c r="O59" i="3"/>
  <c r="W74" i="1"/>
  <c r="V63" i="3"/>
  <c r="V69" i="2"/>
  <c r="Q73" i="1"/>
  <c r="V52" i="3"/>
  <c r="V64" i="2"/>
  <c r="R68" i="1"/>
  <c r="W64" i="1"/>
  <c r="O59" i="2"/>
  <c r="K54" i="4" s="1"/>
  <c r="M54" i="4" s="1"/>
  <c r="S54" i="4" s="1"/>
  <c r="O55" i="3"/>
  <c r="W60" i="1"/>
  <c r="X55" i="1"/>
  <c r="V45" i="3"/>
  <c r="V56" i="2"/>
  <c r="W54" i="1"/>
  <c r="V40" i="3"/>
  <c r="V54" i="2"/>
  <c r="P53" i="2"/>
  <c r="P36" i="3"/>
  <c r="O52" i="2"/>
  <c r="K47" i="4" s="1"/>
  <c r="M47" i="4" s="1"/>
  <c r="O48" i="3"/>
  <c r="X49" i="1"/>
  <c r="V35" i="3"/>
  <c r="V49" i="2"/>
  <c r="P46" i="2"/>
  <c r="P73" i="3"/>
  <c r="O45" i="2"/>
  <c r="K41" i="4" s="1"/>
  <c r="M41" i="4" s="1"/>
  <c r="O72" i="3"/>
  <c r="W44" i="1"/>
  <c r="V38" i="3"/>
  <c r="V43" i="2"/>
  <c r="O40" i="2"/>
  <c r="K37" i="4" s="1"/>
  <c r="M37" i="4" s="1"/>
  <c r="O46" i="3"/>
  <c r="V37" i="3"/>
  <c r="V38" i="2"/>
  <c r="O34" i="2"/>
  <c r="K31" i="4" s="1"/>
  <c r="M31" i="4" s="1"/>
  <c r="O24" i="3"/>
  <c r="V28" i="3"/>
  <c r="V32" i="2"/>
  <c r="V23" i="3"/>
  <c r="V31" i="2"/>
  <c r="X30" i="1"/>
  <c r="V27" i="3"/>
  <c r="V27" i="2"/>
  <c r="V71" i="3"/>
  <c r="V25" i="2"/>
  <c r="V31" i="3"/>
  <c r="V23" i="2"/>
  <c r="O21" i="2"/>
  <c r="K20" i="4" s="1"/>
  <c r="M20" i="4" s="1"/>
  <c r="O21" i="3"/>
  <c r="W21" i="1"/>
  <c r="X18" i="1"/>
  <c r="V16" i="3"/>
  <c r="V16" i="2"/>
  <c r="O15" i="2"/>
  <c r="O15" i="3"/>
  <c r="Y33" i="3"/>
  <c r="Y37" i="2"/>
  <c r="Q23" i="4"/>
  <c r="Z23" i="4" s="1"/>
  <c r="AA23" i="4" s="1"/>
  <c r="U23" i="4"/>
  <c r="Q66" i="4"/>
  <c r="Z66" i="4" s="1"/>
  <c r="AA66" i="4" s="1"/>
  <c r="U66" i="4"/>
  <c r="Q26" i="4"/>
  <c r="Z26" i="4" s="1"/>
  <c r="AA26" i="4" s="1"/>
  <c r="U26" i="4"/>
  <c r="Q42" i="4"/>
  <c r="R42" i="4" s="1"/>
  <c r="U42" i="4"/>
  <c r="Q51" i="4"/>
  <c r="R51" i="4" s="1"/>
  <c r="U51" i="4"/>
  <c r="S66" i="4"/>
  <c r="Q28" i="4"/>
  <c r="U28" i="4"/>
  <c r="Q32" i="4"/>
  <c r="R32" i="4" s="1"/>
  <c r="U32" i="4"/>
  <c r="Z32" i="4" s="1"/>
  <c r="AA32" i="4" s="1"/>
  <c r="Q44" i="4"/>
  <c r="R44" i="4" s="1"/>
  <c r="U44" i="4"/>
  <c r="Q48" i="4"/>
  <c r="R48" i="4" s="1"/>
  <c r="U48" i="4"/>
  <c r="Q41" i="4"/>
  <c r="U41" i="4"/>
  <c r="Q47" i="4"/>
  <c r="R47" i="4" s="1"/>
  <c r="U47" i="4"/>
  <c r="Z47" i="4" s="1"/>
  <c r="AA47" i="4" s="1"/>
  <c r="Q60" i="4"/>
  <c r="R60" i="4" s="1"/>
  <c r="U60" i="4"/>
  <c r="Z60" i="4" s="1"/>
  <c r="AA60" i="4" s="1"/>
  <c r="Q19" i="4"/>
  <c r="Z19" i="4" s="1"/>
  <c r="AA19" i="4" s="1"/>
  <c r="U19" i="4"/>
  <c r="Q27" i="4"/>
  <c r="R27" i="4" s="1"/>
  <c r="U27" i="4"/>
  <c r="Q31" i="4"/>
  <c r="Z31" i="4" s="1"/>
  <c r="AA31" i="4" s="1"/>
  <c r="U31" i="4"/>
  <c r="Q43" i="4"/>
  <c r="Z43" i="4" s="1"/>
  <c r="AA43" i="4" s="1"/>
  <c r="U43" i="4"/>
  <c r="R66" i="4"/>
  <c r="Q38" i="4"/>
  <c r="U38" i="4"/>
  <c r="Z38" i="4" s="1"/>
  <c r="AA38" i="4" s="1"/>
  <c r="Q46" i="4"/>
  <c r="U46" i="4"/>
  <c r="Q63" i="4"/>
  <c r="U63" i="4"/>
  <c r="Q67" i="4"/>
  <c r="R67" i="4" s="1"/>
  <c r="U67" i="4"/>
  <c r="Q58" i="4"/>
  <c r="S58" i="4" s="1"/>
  <c r="U58" i="4"/>
  <c r="Q21" i="4"/>
  <c r="U21" i="4"/>
  <c r="Q30" i="4"/>
  <c r="U30" i="4"/>
  <c r="Q59" i="4"/>
  <c r="U59" i="4"/>
  <c r="Q45" i="4"/>
  <c r="U45" i="4"/>
  <c r="Q49" i="4"/>
  <c r="U49" i="4"/>
  <c r="Q62" i="4"/>
  <c r="S62" i="4" s="1"/>
  <c r="U62" i="4"/>
  <c r="Q22" i="4"/>
  <c r="R22" i="4" s="1"/>
  <c r="U22" i="4"/>
  <c r="Q56" i="4"/>
  <c r="U56" i="4"/>
  <c r="Q20" i="4"/>
  <c r="R20" i="4" s="1"/>
  <c r="U20" i="4"/>
  <c r="Q64" i="4"/>
  <c r="R64" i="4" s="1"/>
  <c r="U64" i="4"/>
  <c r="Q25" i="4"/>
  <c r="R25" i="4" s="1"/>
  <c r="U25" i="4"/>
  <c r="Q29" i="4"/>
  <c r="Z29" i="4" s="1"/>
  <c r="AA29" i="4" s="1"/>
  <c r="U29" i="4"/>
  <c r="Q39" i="4"/>
  <c r="Z39" i="4" s="1"/>
  <c r="AA39" i="4" s="1"/>
  <c r="U39" i="4"/>
  <c r="R56" i="4"/>
  <c r="Q24" i="4"/>
  <c r="U24" i="4"/>
  <c r="R28" i="4"/>
  <c r="Q40" i="4"/>
  <c r="Z40" i="4" s="1"/>
  <c r="AA40" i="4" s="1"/>
  <c r="U40" i="4"/>
  <c r="Q57" i="4"/>
  <c r="Z57" i="4" s="1"/>
  <c r="AA57" i="4" s="1"/>
  <c r="U57" i="4"/>
  <c r="Q61" i="4"/>
  <c r="U61" i="4"/>
  <c r="Q65" i="4"/>
  <c r="U65" i="4"/>
  <c r="R41" i="4"/>
  <c r="Q50" i="4"/>
  <c r="R50" i="4" s="1"/>
  <c r="U50" i="4"/>
  <c r="Z50" i="4" s="1"/>
  <c r="AA50" i="4" s="1"/>
  <c r="Q15" i="4"/>
  <c r="R15" i="4" s="1"/>
  <c r="U15" i="4"/>
  <c r="U37" i="4"/>
  <c r="Q37" i="4"/>
  <c r="S37" i="4" s="1"/>
  <c r="Q54" i="4"/>
  <c r="U54" i="4"/>
  <c r="Z54" i="4" s="1"/>
  <c r="AA54" i="4" s="1"/>
  <c r="Q35" i="4"/>
  <c r="U35" i="4"/>
  <c r="Z35" i="4" s="1"/>
  <c r="AA35" i="4" s="1"/>
  <c r="U16" i="4"/>
  <c r="Q16" i="4"/>
  <c r="Z16" i="4" s="1"/>
  <c r="AA16" i="4" s="1"/>
  <c r="Q18" i="4"/>
  <c r="R18" i="4" s="1"/>
  <c r="U18" i="4"/>
  <c r="U36" i="4"/>
  <c r="Q36" i="4"/>
  <c r="Z36" i="4" s="1"/>
  <c r="AA36" i="4" s="1"/>
  <c r="Q53" i="4"/>
  <c r="R53" i="4" s="1"/>
  <c r="U53" i="4"/>
  <c r="U55" i="4"/>
  <c r="Q55" i="4"/>
  <c r="Z55" i="4" s="1"/>
  <c r="AA55" i="4" s="1"/>
  <c r="U17" i="4"/>
  <c r="Q17" i="4"/>
  <c r="R17" i="4" s="1"/>
  <c r="S35" i="4"/>
  <c r="R35" i="4"/>
  <c r="X20" i="2"/>
  <c r="X27" i="2"/>
  <c r="X27" i="3"/>
  <c r="R76" i="1"/>
  <c r="P71" i="2"/>
  <c r="R73" i="1"/>
  <c r="O68" i="2"/>
  <c r="K63" i="4" s="1"/>
  <c r="Q72" i="1"/>
  <c r="Y72" i="1" s="1"/>
  <c r="P67" i="2"/>
  <c r="R71" i="1"/>
  <c r="O66" i="2"/>
  <c r="K61" i="4" s="1"/>
  <c r="Q67" i="1"/>
  <c r="Y67" i="1" s="1"/>
  <c r="P62" i="2"/>
  <c r="R66" i="1"/>
  <c r="Z66" i="1" s="1"/>
  <c r="O61" i="2"/>
  <c r="K56" i="4" s="1"/>
  <c r="Q65" i="1"/>
  <c r="Y65" i="1" s="1"/>
  <c r="P60" i="2"/>
  <c r="Q63" i="1"/>
  <c r="Y63" i="1" s="1"/>
  <c r="P58" i="2"/>
  <c r="Q61" i="1"/>
  <c r="Y61" i="1" s="1"/>
  <c r="R60" i="1"/>
  <c r="Q59" i="1"/>
  <c r="Y59" i="1" s="1"/>
  <c r="R55" i="1"/>
  <c r="O56" i="2"/>
  <c r="K51" i="4" s="1"/>
  <c r="M51" i="4" s="1"/>
  <c r="Z51" i="4" s="1"/>
  <c r="AA51" i="4" s="1"/>
  <c r="Q54" i="1"/>
  <c r="P54" i="2"/>
  <c r="R51" i="1"/>
  <c r="O51" i="2"/>
  <c r="K46" i="4" s="1"/>
  <c r="M46" i="4" s="1"/>
  <c r="Z46" i="4" s="1"/>
  <c r="AA46" i="4" s="1"/>
  <c r="Q50" i="1"/>
  <c r="P50" i="2"/>
  <c r="R47" i="1"/>
  <c r="O46" i="2"/>
  <c r="K42" i="4" s="1"/>
  <c r="M42" i="4" s="1"/>
  <c r="Z42" i="4" s="1"/>
  <c r="AA42" i="4" s="1"/>
  <c r="Q46" i="1"/>
  <c r="P45" i="2"/>
  <c r="R44" i="1"/>
  <c r="P43" i="2"/>
  <c r="R42" i="1"/>
  <c r="P40" i="2"/>
  <c r="Q36" i="1"/>
  <c r="P34" i="2"/>
  <c r="Q34" i="1"/>
  <c r="P32" i="2"/>
  <c r="R33" i="1"/>
  <c r="P31" i="2"/>
  <c r="R31" i="1"/>
  <c r="P28" i="2"/>
  <c r="Q28" i="1"/>
  <c r="P25" i="2"/>
  <c r="Q26" i="1"/>
  <c r="P23" i="2"/>
  <c r="R25" i="1"/>
  <c r="P21" i="2"/>
  <c r="Q23" i="1"/>
  <c r="R20" i="1"/>
  <c r="Z20" i="1" s="1"/>
  <c r="O18" i="2"/>
  <c r="K17" i="4" s="1"/>
  <c r="Q19" i="1"/>
  <c r="P17" i="2"/>
  <c r="R16" i="1"/>
  <c r="Q77" i="1"/>
  <c r="P72" i="2"/>
  <c r="Q75" i="1"/>
  <c r="R75" i="1"/>
  <c r="Z75" i="1" s="1"/>
  <c r="O70" i="2"/>
  <c r="K65" i="4" s="1"/>
  <c r="Q74" i="1"/>
  <c r="P69" i="2"/>
  <c r="Q69" i="1"/>
  <c r="Y69" i="1" s="1"/>
  <c r="P64" i="2"/>
  <c r="W68" i="1"/>
  <c r="R58" i="1"/>
  <c r="Q56" i="1"/>
  <c r="P55" i="2"/>
  <c r="Q53" i="1"/>
  <c r="R53" i="1"/>
  <c r="O53" i="2"/>
  <c r="K48" i="4" s="1"/>
  <c r="M48" i="4" s="1"/>
  <c r="Z48" i="4" s="1"/>
  <c r="AA48" i="4" s="1"/>
  <c r="Q52" i="1"/>
  <c r="P52" i="2"/>
  <c r="Q49" i="1"/>
  <c r="R49" i="1"/>
  <c r="O49" i="2"/>
  <c r="K44" i="4" s="1"/>
  <c r="Q48" i="1"/>
  <c r="Y48" i="1" s="1"/>
  <c r="P47" i="2"/>
  <c r="Q45" i="1"/>
  <c r="Y45" i="1" s="1"/>
  <c r="P44" i="2"/>
  <c r="Q43" i="1"/>
  <c r="P42" i="2"/>
  <c r="Q41" i="1"/>
  <c r="Y41" i="1" s="1"/>
  <c r="P39" i="2"/>
  <c r="W40" i="1"/>
  <c r="R40" i="1"/>
  <c r="R37" i="3" s="1"/>
  <c r="P38" i="2"/>
  <c r="W37" i="1"/>
  <c r="R37" i="1"/>
  <c r="R29" i="3" s="1"/>
  <c r="P35" i="2"/>
  <c r="X36" i="1"/>
  <c r="R35" i="1"/>
  <c r="P33" i="2"/>
  <c r="X34" i="1"/>
  <c r="Q32" i="1"/>
  <c r="P30" i="2"/>
  <c r="Q30" i="1"/>
  <c r="P27" i="2"/>
  <c r="W29" i="1"/>
  <c r="R29" i="1"/>
  <c r="P26" i="2"/>
  <c r="X28" i="1"/>
  <c r="R27" i="1"/>
  <c r="P22" i="2"/>
  <c r="X26" i="1"/>
  <c r="Q24" i="1"/>
  <c r="Y24" i="1" s="1"/>
  <c r="P20" i="2"/>
  <c r="Q22" i="1"/>
  <c r="R22" i="1"/>
  <c r="O19" i="2"/>
  <c r="K18" i="4" s="1"/>
  <c r="Q21" i="1"/>
  <c r="Y21" i="1" s="1"/>
  <c r="Q18" i="1"/>
  <c r="R18" i="1"/>
  <c r="O16" i="2"/>
  <c r="K15" i="4" s="1"/>
  <c r="Q17" i="1"/>
  <c r="Y17" i="1" s="1"/>
  <c r="P15" i="2"/>
  <c r="Z29" i="1"/>
  <c r="Z64" i="1"/>
  <c r="Z62" i="1"/>
  <c r="Z44" i="1"/>
  <c r="Z25" i="1"/>
  <c r="Z71" i="1"/>
  <c r="Z76" i="1"/>
  <c r="Y74" i="1"/>
  <c r="Y73" i="1"/>
  <c r="Z73" i="1"/>
  <c r="W70" i="1"/>
  <c r="Z68" i="1"/>
  <c r="Z60" i="1"/>
  <c r="Y56" i="1"/>
  <c r="Z55" i="1"/>
  <c r="Y54" i="1"/>
  <c r="Y53" i="1"/>
  <c r="Y51" i="1"/>
  <c r="Z51" i="1"/>
  <c r="Y49" i="1"/>
  <c r="Z49" i="1"/>
  <c r="Y47" i="1"/>
  <c r="Z47" i="1"/>
  <c r="Z42" i="1"/>
  <c r="Z27" i="1"/>
  <c r="Y23" i="1"/>
  <c r="Y20" i="1"/>
  <c r="Y18" i="1"/>
  <c r="X77" i="1"/>
  <c r="R77" i="1"/>
  <c r="R64" i="3" s="1"/>
  <c r="R74" i="1"/>
  <c r="R63" i="3" s="1"/>
  <c r="R72" i="1"/>
  <c r="R53" i="3" s="1"/>
  <c r="Q70" i="1"/>
  <c r="Q57" i="3" s="1"/>
  <c r="X69" i="1"/>
  <c r="R69" i="1"/>
  <c r="R52" i="3" s="1"/>
  <c r="Q68" i="1"/>
  <c r="Q61" i="3" s="1"/>
  <c r="X67" i="1"/>
  <c r="R67" i="1"/>
  <c r="R56" i="3" s="1"/>
  <c r="Q66" i="1"/>
  <c r="Q51" i="3" s="1"/>
  <c r="X65" i="1"/>
  <c r="R65" i="1"/>
  <c r="R60" i="3" s="1"/>
  <c r="Q64" i="1"/>
  <c r="Q55" i="3" s="1"/>
  <c r="X63" i="1"/>
  <c r="R63" i="1"/>
  <c r="R50" i="3" s="1"/>
  <c r="Q62" i="1"/>
  <c r="X61" i="1"/>
  <c r="R61" i="1"/>
  <c r="Q60" i="1"/>
  <c r="X59" i="1"/>
  <c r="R59" i="1"/>
  <c r="Q58" i="1"/>
  <c r="R56" i="1"/>
  <c r="R41" i="3" s="1"/>
  <c r="R54" i="1"/>
  <c r="R40" i="3" s="1"/>
  <c r="R52" i="1"/>
  <c r="R48" i="3" s="1"/>
  <c r="R50" i="1"/>
  <c r="R39" i="3" s="1"/>
  <c r="R48" i="1"/>
  <c r="R47" i="3" s="1"/>
  <c r="R46" i="1"/>
  <c r="R72" i="3" s="1"/>
  <c r="X45" i="1"/>
  <c r="R45" i="1"/>
  <c r="R43" i="3" s="1"/>
  <c r="R23" i="1"/>
  <c r="R21" i="1"/>
  <c r="R19" i="1"/>
  <c r="R20" i="3" s="1"/>
  <c r="R17" i="1"/>
  <c r="R15" i="3" s="1"/>
  <c r="Q71" i="1"/>
  <c r="Q62" i="3" s="1"/>
  <c r="Y52" i="1"/>
  <c r="Y50" i="1"/>
  <c r="Y46" i="1"/>
  <c r="Y19" i="1"/>
  <c r="R70" i="1"/>
  <c r="R57" i="3" s="1"/>
  <c r="W77" i="1"/>
  <c r="X76" i="1"/>
  <c r="Q76" i="1"/>
  <c r="Q59" i="3" s="1"/>
  <c r="W75" i="1"/>
  <c r="X74" i="1"/>
  <c r="W73" i="1"/>
  <c r="X72" i="1"/>
  <c r="W71" i="1"/>
  <c r="X70" i="1"/>
  <c r="W69" i="1"/>
  <c r="X68" i="1"/>
  <c r="W67" i="1"/>
  <c r="X66" i="1"/>
  <c r="W65" i="1"/>
  <c r="X64" i="1"/>
  <c r="W63" i="1"/>
  <c r="X62" i="1"/>
  <c r="W61" i="1"/>
  <c r="X60" i="1"/>
  <c r="W59" i="1"/>
  <c r="X58" i="1"/>
  <c r="X56" i="1"/>
  <c r="W55" i="1"/>
  <c r="X54" i="1"/>
  <c r="W53" i="1"/>
  <c r="X52" i="1"/>
  <c r="W51" i="1"/>
  <c r="X50" i="1"/>
  <c r="W49" i="1"/>
  <c r="X48" i="1"/>
  <c r="W47" i="1"/>
  <c r="X46" i="1"/>
  <c r="Y43" i="1"/>
  <c r="R43" i="1"/>
  <c r="R34" i="3" s="1"/>
  <c r="W43" i="1"/>
  <c r="R41" i="1"/>
  <c r="R42" i="3" s="1"/>
  <c r="W41" i="1"/>
  <c r="Y36" i="1"/>
  <c r="R36" i="1"/>
  <c r="R24" i="3" s="1"/>
  <c r="W36" i="1"/>
  <c r="Y34" i="1"/>
  <c r="R34" i="1"/>
  <c r="R28" i="3" s="1"/>
  <c r="W34" i="1"/>
  <c r="Y32" i="1"/>
  <c r="R32" i="1"/>
  <c r="R18" i="3" s="1"/>
  <c r="W32" i="1"/>
  <c r="R30" i="1"/>
  <c r="R27" i="3" s="1"/>
  <c r="W30" i="1"/>
  <c r="Y28" i="1"/>
  <c r="R28" i="1"/>
  <c r="R71" i="3" s="1"/>
  <c r="W28" i="1"/>
  <c r="Y26" i="1"/>
  <c r="R26" i="1"/>
  <c r="R31" i="3" s="1"/>
  <c r="W26" i="1"/>
  <c r="R24" i="1"/>
  <c r="R17" i="3" s="1"/>
  <c r="W24" i="1"/>
  <c r="Q44" i="1"/>
  <c r="Q38" i="3" s="1"/>
  <c r="X44" i="1"/>
  <c r="Q42" i="1"/>
  <c r="Q46" i="3" s="1"/>
  <c r="X42" i="1"/>
  <c r="Q40" i="1"/>
  <c r="Q37" i="3" s="1"/>
  <c r="X40" i="1"/>
  <c r="Q37" i="1"/>
  <c r="Q29" i="3" s="1"/>
  <c r="X37" i="1"/>
  <c r="Q35" i="1"/>
  <c r="Q19" i="3" s="1"/>
  <c r="X35" i="1"/>
  <c r="Q33" i="1"/>
  <c r="Q23" i="3" s="1"/>
  <c r="X33" i="1"/>
  <c r="Q31" i="1"/>
  <c r="Q70" i="3" s="1"/>
  <c r="X31" i="1"/>
  <c r="Q29" i="1"/>
  <c r="Q22" i="3" s="1"/>
  <c r="X29" i="1"/>
  <c r="Q27" i="1"/>
  <c r="Q26" i="3" s="1"/>
  <c r="X27" i="1"/>
  <c r="Q25" i="1"/>
  <c r="Q21" i="3" s="1"/>
  <c r="X25" i="1"/>
  <c r="X23" i="1"/>
  <c r="W22" i="1"/>
  <c r="X21" i="1"/>
  <c r="W20" i="1"/>
  <c r="X19" i="1"/>
  <c r="W18" i="1"/>
  <c r="X17" i="1"/>
  <c r="R15" i="1"/>
  <c r="S31" i="4" l="1"/>
  <c r="S41" i="4"/>
  <c r="X22" i="2"/>
  <c r="X26" i="3"/>
  <c r="X38" i="2"/>
  <c r="X37" i="3"/>
  <c r="W23" i="2"/>
  <c r="W31" i="3"/>
  <c r="W30" i="2"/>
  <c r="W18" i="3"/>
  <c r="Y34" i="2"/>
  <c r="Y24" i="3"/>
  <c r="X17" i="2"/>
  <c r="X20" i="3"/>
  <c r="Y32" i="2"/>
  <c r="Y28" i="3"/>
  <c r="W39" i="2"/>
  <c r="W42" i="3"/>
  <c r="W46" i="2"/>
  <c r="W73" i="3"/>
  <c r="W51" i="2"/>
  <c r="W44" i="3"/>
  <c r="W56" i="2"/>
  <c r="W45" i="3"/>
  <c r="X59" i="2"/>
  <c r="X55" i="3"/>
  <c r="X63" i="2"/>
  <c r="X61" i="3"/>
  <c r="X67" i="2"/>
  <c r="X53" i="3"/>
  <c r="Y15" i="2"/>
  <c r="Y15" i="3"/>
  <c r="Y47" i="2"/>
  <c r="Y47" i="3"/>
  <c r="X58" i="2"/>
  <c r="X50" i="3"/>
  <c r="Z18" i="2"/>
  <c r="Z25" i="3"/>
  <c r="Z40" i="2"/>
  <c r="Z46" i="3"/>
  <c r="Y49" i="2"/>
  <c r="Y35" i="3"/>
  <c r="Y54" i="2"/>
  <c r="Y40" i="3"/>
  <c r="Y64" i="2"/>
  <c r="Y52" i="3"/>
  <c r="Y68" i="2"/>
  <c r="Y58" i="3"/>
  <c r="Z61" i="2"/>
  <c r="Z51" i="3"/>
  <c r="Y60" i="2"/>
  <c r="Y60" i="3"/>
  <c r="X32" i="2"/>
  <c r="X28" i="3"/>
  <c r="Q49" i="2"/>
  <c r="I44" i="4" s="1"/>
  <c r="Q35" i="3"/>
  <c r="R53" i="2"/>
  <c r="R36" i="3"/>
  <c r="Q70" i="2"/>
  <c r="I65" i="4" s="1"/>
  <c r="Q54" i="3"/>
  <c r="Q32" i="2"/>
  <c r="I29" i="4" s="1"/>
  <c r="Q28" i="3"/>
  <c r="R40" i="2"/>
  <c r="R46" i="3"/>
  <c r="Q45" i="2"/>
  <c r="I41" i="4" s="1"/>
  <c r="Q72" i="3"/>
  <c r="Q50" i="2"/>
  <c r="I45" i="4" s="1"/>
  <c r="Q39" i="3"/>
  <c r="Q54" i="2"/>
  <c r="I49" i="4" s="1"/>
  <c r="Q40" i="3"/>
  <c r="Z20" i="4"/>
  <c r="AA20" i="4" s="1"/>
  <c r="AB20" i="4" s="1"/>
  <c r="Z22" i="4"/>
  <c r="AA22" i="4" s="1"/>
  <c r="AB22" i="4" s="1"/>
  <c r="Z45" i="4"/>
  <c r="AA45" i="4" s="1"/>
  <c r="Z30" i="4"/>
  <c r="AA30" i="4" s="1"/>
  <c r="Z28" i="4"/>
  <c r="AA28" i="4" s="1"/>
  <c r="AB28" i="4" s="1"/>
  <c r="X49" i="2"/>
  <c r="X35" i="3"/>
  <c r="W15" i="2"/>
  <c r="W15" i="3"/>
  <c r="X53" i="2"/>
  <c r="X36" i="3"/>
  <c r="X68" i="2"/>
  <c r="X58" i="3"/>
  <c r="W17" i="2"/>
  <c r="W20" i="3"/>
  <c r="W22" i="2"/>
  <c r="W26" i="3"/>
  <c r="W40" i="2"/>
  <c r="W46" i="3"/>
  <c r="X46" i="2"/>
  <c r="X73" i="3"/>
  <c r="W61" i="2"/>
  <c r="W51" i="3"/>
  <c r="X19" i="2"/>
  <c r="X30" i="3"/>
  <c r="W44" i="2"/>
  <c r="W43" i="3"/>
  <c r="W19" i="2"/>
  <c r="W30" i="3"/>
  <c r="X31" i="2"/>
  <c r="X23" i="3"/>
  <c r="W20" i="2"/>
  <c r="AB19" i="4" s="1"/>
  <c r="W17" i="3"/>
  <c r="Y42" i="2"/>
  <c r="Y34" i="3"/>
  <c r="X52" i="2"/>
  <c r="X48" i="3"/>
  <c r="X55" i="2"/>
  <c r="X41" i="3"/>
  <c r="W60" i="2"/>
  <c r="W60" i="3"/>
  <c r="W64" i="2"/>
  <c r="W52" i="3"/>
  <c r="W68" i="2"/>
  <c r="W58" i="3"/>
  <c r="X71" i="2"/>
  <c r="X59" i="3"/>
  <c r="Y17" i="2"/>
  <c r="Y20" i="3"/>
  <c r="Y50" i="2"/>
  <c r="Y39" i="3"/>
  <c r="X44" i="2"/>
  <c r="X43" i="3"/>
  <c r="X64" i="2"/>
  <c r="X52" i="3"/>
  <c r="Y18" i="2"/>
  <c r="Y25" i="3"/>
  <c r="Z46" i="2"/>
  <c r="Z73" i="3"/>
  <c r="Z51" i="2"/>
  <c r="Z44" i="3"/>
  <c r="Z56" i="2"/>
  <c r="Z45" i="3"/>
  <c r="W65" i="2"/>
  <c r="W57" i="3"/>
  <c r="Y69" i="2"/>
  <c r="Y63" i="3"/>
  <c r="Z66" i="2"/>
  <c r="Z62" i="3"/>
  <c r="R16" i="2"/>
  <c r="R16" i="3"/>
  <c r="R19" i="2"/>
  <c r="R30" i="3"/>
  <c r="W38" i="2"/>
  <c r="AB35" i="4" s="1"/>
  <c r="W37" i="3"/>
  <c r="Q42" i="2"/>
  <c r="I38" i="4" s="1"/>
  <c r="Q34" i="3"/>
  <c r="Q47" i="2"/>
  <c r="I43" i="4" s="1"/>
  <c r="Q47" i="3"/>
  <c r="Q53" i="2"/>
  <c r="I48" i="4" s="1"/>
  <c r="Q36" i="3"/>
  <c r="W63" i="2"/>
  <c r="W61" i="3"/>
  <c r="Q69" i="2"/>
  <c r="I64" i="4" s="1"/>
  <c r="Q63" i="3"/>
  <c r="Q17" i="2"/>
  <c r="I16" i="4" s="1"/>
  <c r="Q20" i="3"/>
  <c r="AB42" i="4"/>
  <c r="AB46" i="4"/>
  <c r="AB51" i="4"/>
  <c r="Q60" i="2"/>
  <c r="I55" i="4" s="1"/>
  <c r="Q60" i="3"/>
  <c r="Q62" i="2"/>
  <c r="I57" i="4" s="1"/>
  <c r="Q56" i="3"/>
  <c r="Q67" i="2"/>
  <c r="I62" i="4" s="1"/>
  <c r="Q53" i="3"/>
  <c r="R71" i="2"/>
  <c r="R59" i="3"/>
  <c r="AB31" i="4"/>
  <c r="AB66" i="4"/>
  <c r="W43" i="2"/>
  <c r="AB39" i="4" s="1"/>
  <c r="W38" i="3"/>
  <c r="W69" i="2"/>
  <c r="W63" i="3"/>
  <c r="W47" i="2"/>
  <c r="W47" i="3"/>
  <c r="W67" i="2"/>
  <c r="W53" i="3"/>
  <c r="W71" i="2"/>
  <c r="W59" i="3"/>
  <c r="W28" i="2"/>
  <c r="W70" i="3"/>
  <c r="W45" i="2"/>
  <c r="W72" i="3"/>
  <c r="X66" i="2"/>
  <c r="X62" i="3"/>
  <c r="X70" i="2"/>
  <c r="X54" i="3"/>
  <c r="X43" i="2"/>
  <c r="X38" i="3"/>
  <c r="W18" i="2"/>
  <c r="W25" i="3"/>
  <c r="X35" i="2"/>
  <c r="X29" i="3"/>
  <c r="X40" i="2"/>
  <c r="X46" i="3"/>
  <c r="W27" i="2"/>
  <c r="W27" i="3"/>
  <c r="Y30" i="2"/>
  <c r="Y18" i="3"/>
  <c r="W34" i="2"/>
  <c r="W24" i="3"/>
  <c r="X47" i="2"/>
  <c r="X47" i="3"/>
  <c r="X15" i="2"/>
  <c r="X15" i="3"/>
  <c r="W25" i="2"/>
  <c r="W71" i="3"/>
  <c r="W32" i="2"/>
  <c r="W28" i="3"/>
  <c r="Y39" i="2"/>
  <c r="Y42" i="3"/>
  <c r="Y44" i="2"/>
  <c r="Y43" i="3"/>
  <c r="W49" i="2"/>
  <c r="W35" i="3"/>
  <c r="W53" i="2"/>
  <c r="W36" i="3"/>
  <c r="X61" i="2"/>
  <c r="X51" i="3"/>
  <c r="X65" i="2"/>
  <c r="X57" i="3"/>
  <c r="X69" i="2"/>
  <c r="X63" i="3"/>
  <c r="W72" i="2"/>
  <c r="W64" i="3"/>
  <c r="Y52" i="2"/>
  <c r="Y48" i="3"/>
  <c r="X62" i="2"/>
  <c r="X56" i="3"/>
  <c r="X72" i="2"/>
  <c r="X64" i="3"/>
  <c r="Y46" i="2"/>
  <c r="Y73" i="3"/>
  <c r="Y51" i="2"/>
  <c r="Y44" i="3"/>
  <c r="Y56" i="2"/>
  <c r="Y45" i="3"/>
  <c r="Y62" i="2"/>
  <c r="Y56" i="3"/>
  <c r="Y67" i="2"/>
  <c r="Y53" i="3"/>
  <c r="Z70" i="2"/>
  <c r="Z54" i="3"/>
  <c r="Y58" i="2"/>
  <c r="Y50" i="3"/>
  <c r="Q16" i="2"/>
  <c r="I15" i="4" s="1"/>
  <c r="Q16" i="3"/>
  <c r="Q19" i="2"/>
  <c r="I18" i="4" s="1"/>
  <c r="Q30" i="3"/>
  <c r="R33" i="2"/>
  <c r="R19" i="3"/>
  <c r="W35" i="2"/>
  <c r="AB32" i="4" s="1"/>
  <c r="W29" i="3"/>
  <c r="Q52" i="2"/>
  <c r="I47" i="4" s="1"/>
  <c r="Q48" i="3"/>
  <c r="Q72" i="2"/>
  <c r="I67" i="4" s="1"/>
  <c r="Q64" i="3"/>
  <c r="R31" i="2"/>
  <c r="R23" i="3"/>
  <c r="Q34" i="2"/>
  <c r="I31" i="4" s="1"/>
  <c r="Q24" i="3"/>
  <c r="R43" i="2"/>
  <c r="R38" i="3"/>
  <c r="R46" i="2"/>
  <c r="R73" i="3"/>
  <c r="R51" i="2"/>
  <c r="R44" i="3"/>
  <c r="R56" i="2"/>
  <c r="R45" i="3"/>
  <c r="Z24" i="4"/>
  <c r="AA24" i="4" s="1"/>
  <c r="Z49" i="4"/>
  <c r="AA49" i="4" s="1"/>
  <c r="Z59" i="4"/>
  <c r="AA59" i="4" s="1"/>
  <c r="Z21" i="4"/>
  <c r="AA21" i="4" s="1"/>
  <c r="AB21" i="4" s="1"/>
  <c r="X16" i="2"/>
  <c r="X16" i="3"/>
  <c r="X56" i="2"/>
  <c r="X45" i="3"/>
  <c r="W59" i="2"/>
  <c r="W55" i="3"/>
  <c r="Q68" i="2"/>
  <c r="I63" i="4" s="1"/>
  <c r="Q58" i="3"/>
  <c r="X42" i="2"/>
  <c r="X34" i="3"/>
  <c r="W33" i="2"/>
  <c r="W19" i="3"/>
  <c r="X51" i="2"/>
  <c r="X44" i="3"/>
  <c r="W55" i="2"/>
  <c r="AB50" i="4" s="1"/>
  <c r="W41" i="3"/>
  <c r="W16" i="2"/>
  <c r="W16" i="3"/>
  <c r="X33" i="2"/>
  <c r="X19" i="3"/>
  <c r="W42" i="2"/>
  <c r="W34" i="3"/>
  <c r="X45" i="2"/>
  <c r="X72" i="3"/>
  <c r="X50" i="2"/>
  <c r="X39" i="3"/>
  <c r="X54" i="2"/>
  <c r="X40" i="3"/>
  <c r="W58" i="2"/>
  <c r="W50" i="3"/>
  <c r="W62" i="2"/>
  <c r="AB57" i="4" s="1"/>
  <c r="W56" i="3"/>
  <c r="W66" i="2"/>
  <c r="W62" i="3"/>
  <c r="W70" i="2"/>
  <c r="W54" i="3"/>
  <c r="Y45" i="2"/>
  <c r="Y72" i="3"/>
  <c r="X60" i="2"/>
  <c r="X60" i="3"/>
  <c r="Y16" i="2"/>
  <c r="Y16" i="3"/>
  <c r="Z22" i="2"/>
  <c r="Z26" i="3"/>
  <c r="Z49" i="2"/>
  <c r="Z35" i="3"/>
  <c r="Y53" i="2"/>
  <c r="Y36" i="3"/>
  <c r="Y55" i="2"/>
  <c r="Y41" i="3"/>
  <c r="Z63" i="2"/>
  <c r="Z61" i="3"/>
  <c r="Z68" i="2"/>
  <c r="Z58" i="3"/>
  <c r="Z71" i="2"/>
  <c r="Z59" i="3"/>
  <c r="Z43" i="2"/>
  <c r="Z38" i="3"/>
  <c r="Z59" i="2"/>
  <c r="Z55" i="3"/>
  <c r="Q15" i="2"/>
  <c r="Q15" i="3"/>
  <c r="R22" i="2"/>
  <c r="R26" i="3"/>
  <c r="W26" i="2"/>
  <c r="W22" i="3"/>
  <c r="Q30" i="2"/>
  <c r="I27" i="4" s="1"/>
  <c r="Q18" i="3"/>
  <c r="X34" i="2"/>
  <c r="X24" i="3"/>
  <c r="Q39" i="2"/>
  <c r="I36" i="4" s="1"/>
  <c r="Q42" i="3"/>
  <c r="Q44" i="2"/>
  <c r="I40" i="4" s="1"/>
  <c r="Q43" i="3"/>
  <c r="R49" i="2"/>
  <c r="R35" i="3"/>
  <c r="AB48" i="4"/>
  <c r="Q55" i="2"/>
  <c r="I50" i="4" s="1"/>
  <c r="Q41" i="3"/>
  <c r="Q64" i="2"/>
  <c r="I59" i="4" s="1"/>
  <c r="Q52" i="3"/>
  <c r="R70" i="2"/>
  <c r="R54" i="3"/>
  <c r="R18" i="2"/>
  <c r="R25" i="3"/>
  <c r="Q58" i="2"/>
  <c r="I53" i="4" s="1"/>
  <c r="Q50" i="3"/>
  <c r="R61" i="2"/>
  <c r="R51" i="3"/>
  <c r="R66" i="2"/>
  <c r="R62" i="3"/>
  <c r="R68" i="2"/>
  <c r="R58" i="3"/>
  <c r="AB55" i="4"/>
  <c r="AB36" i="4"/>
  <c r="AB16" i="4"/>
  <c r="AB54" i="4"/>
  <c r="AB40" i="4"/>
  <c r="AB29" i="4"/>
  <c r="AB38" i="4"/>
  <c r="AB43" i="4"/>
  <c r="AB60" i="4"/>
  <c r="AB26" i="4"/>
  <c r="AB23" i="4"/>
  <c r="W54" i="2"/>
  <c r="W40" i="3"/>
  <c r="R63" i="2"/>
  <c r="R61" i="3"/>
  <c r="X30" i="2"/>
  <c r="X18" i="3"/>
  <c r="X18" i="2"/>
  <c r="X25" i="3"/>
  <c r="W52" i="2"/>
  <c r="AB47" i="4" s="1"/>
  <c r="W48" i="3"/>
  <c r="X39" i="2"/>
  <c r="X42" i="3"/>
  <c r="W50" i="2"/>
  <c r="W39" i="3"/>
  <c r="Q56" i="2"/>
  <c r="I51" i="4" s="1"/>
  <c r="Q45" i="3"/>
  <c r="S23" i="4"/>
  <c r="Z53" i="4"/>
  <c r="AA53" i="4" s="1"/>
  <c r="AB53" i="4" s="1"/>
  <c r="Z62" i="4"/>
  <c r="AA62" i="4" s="1"/>
  <c r="AB62" i="4" s="1"/>
  <c r="Z37" i="4"/>
  <c r="AA37" i="4" s="1"/>
  <c r="AB37" i="4" s="1"/>
  <c r="Z41" i="4"/>
  <c r="AA41" i="4" s="1"/>
  <c r="AB41" i="4" s="1"/>
  <c r="Z58" i="4"/>
  <c r="AA58" i="4" s="1"/>
  <c r="AB58" i="4" s="1"/>
  <c r="Z64" i="4"/>
  <c r="AA64" i="4" s="1"/>
  <c r="AB64" i="4" s="1"/>
  <c r="Z25" i="4"/>
  <c r="AA25" i="4" s="1"/>
  <c r="AB25" i="4" s="1"/>
  <c r="Z27" i="4"/>
  <c r="AA27" i="4" s="1"/>
  <c r="AB27" i="4" s="1"/>
  <c r="Z67" i="4"/>
  <c r="AA67" i="4" s="1"/>
  <c r="AB67" i="4" s="1"/>
  <c r="S67" i="4"/>
  <c r="V56" i="4"/>
  <c r="W56" i="4" s="1"/>
  <c r="V18" i="4"/>
  <c r="W18" i="4" s="1"/>
  <c r="V35" i="4"/>
  <c r="W35" i="4" s="1"/>
  <c r="X35" i="4" s="1"/>
  <c r="V54" i="4"/>
  <c r="W54" i="4" s="1"/>
  <c r="X54" i="4" s="1"/>
  <c r="V15" i="4"/>
  <c r="W15" i="4" s="1"/>
  <c r="R54" i="4"/>
  <c r="V17" i="4"/>
  <c r="W17" i="4" s="1"/>
  <c r="V51" i="4"/>
  <c r="W51" i="4" s="1"/>
  <c r="X51" i="4" s="1"/>
  <c r="V42" i="4"/>
  <c r="W42" i="4" s="1"/>
  <c r="X42" i="4" s="1"/>
  <c r="V66" i="4"/>
  <c r="W66" i="4" s="1"/>
  <c r="X66" i="4" s="1"/>
  <c r="V67" i="4"/>
  <c r="W67" i="4" s="1"/>
  <c r="X67" i="4" s="1"/>
  <c r="M15" i="4"/>
  <c r="Z15" i="4" s="1"/>
  <c r="AA15" i="4" s="1"/>
  <c r="AB15" i="4" s="1"/>
  <c r="M18" i="4"/>
  <c r="Z18" i="4" s="1"/>
  <c r="AA18" i="4" s="1"/>
  <c r="AB18" i="4" s="1"/>
  <c r="M44" i="4"/>
  <c r="M65" i="4"/>
  <c r="M17" i="4"/>
  <c r="Z17" i="4" s="1"/>
  <c r="AA17" i="4" s="1"/>
  <c r="AB17" i="4" s="1"/>
  <c r="M56" i="4"/>
  <c r="M61" i="4"/>
  <c r="M63" i="4"/>
  <c r="S55" i="4"/>
  <c r="V55" i="4"/>
  <c r="W55" i="4" s="1"/>
  <c r="X55" i="4" s="1"/>
  <c r="S36" i="4"/>
  <c r="V36" i="4"/>
  <c r="W36" i="4" s="1"/>
  <c r="X36" i="4" s="1"/>
  <c r="S16" i="4"/>
  <c r="V16" i="4"/>
  <c r="W16" i="4" s="1"/>
  <c r="X16" i="4" s="1"/>
  <c r="R37" i="4"/>
  <c r="V37" i="4"/>
  <c r="W37" i="4" s="1"/>
  <c r="X37" i="4" s="1"/>
  <c r="S59" i="4"/>
  <c r="V59" i="4"/>
  <c r="W59" i="4" s="1"/>
  <c r="X59" i="4" s="1"/>
  <c r="R30" i="4"/>
  <c r="V30" i="4"/>
  <c r="W30" i="4" s="1"/>
  <c r="X30" i="4" s="1"/>
  <c r="S21" i="4"/>
  <c r="V21" i="4"/>
  <c r="W21" i="4" s="1"/>
  <c r="X21" i="4" s="1"/>
  <c r="R46" i="4"/>
  <c r="V46" i="4"/>
  <c r="W46" i="4" s="1"/>
  <c r="X46" i="4" s="1"/>
  <c r="S43" i="4"/>
  <c r="V43" i="4"/>
  <c r="W43" i="4" s="1"/>
  <c r="X43" i="4" s="1"/>
  <c r="R31" i="4"/>
  <c r="V31" i="4"/>
  <c r="W31" i="4" s="1"/>
  <c r="X31" i="4" s="1"/>
  <c r="S27" i="4"/>
  <c r="V27" i="4"/>
  <c r="W27" i="4" s="1"/>
  <c r="X27" i="4" s="1"/>
  <c r="S19" i="4"/>
  <c r="V19" i="4"/>
  <c r="W19" i="4" s="1"/>
  <c r="X19" i="4" s="1"/>
  <c r="S60" i="4"/>
  <c r="V60" i="4"/>
  <c r="W60" i="4" s="1"/>
  <c r="X60" i="4" s="1"/>
  <c r="S47" i="4"/>
  <c r="V47" i="4"/>
  <c r="W47" i="4" s="1"/>
  <c r="X47" i="4" s="1"/>
  <c r="V41" i="4"/>
  <c r="W41" i="4" s="1"/>
  <c r="X41" i="4" s="1"/>
  <c r="V48" i="4"/>
  <c r="W48" i="4" s="1"/>
  <c r="X48" i="4" s="1"/>
  <c r="V44" i="4"/>
  <c r="W44" i="4" s="1"/>
  <c r="X44" i="4" s="1"/>
  <c r="S32" i="4"/>
  <c r="V32" i="4"/>
  <c r="W32" i="4" s="1"/>
  <c r="X32" i="4" s="1"/>
  <c r="V28" i="4"/>
  <c r="W28" i="4" s="1"/>
  <c r="X28" i="4" s="1"/>
  <c r="S53" i="4"/>
  <c r="V53" i="4"/>
  <c r="W53" i="4" s="1"/>
  <c r="X53" i="4" s="1"/>
  <c r="S50" i="4"/>
  <c r="V50" i="4"/>
  <c r="W50" i="4" s="1"/>
  <c r="X50" i="4" s="1"/>
  <c r="V65" i="4"/>
  <c r="W65" i="4" s="1"/>
  <c r="R61" i="4"/>
  <c r="V61" i="4"/>
  <c r="W61" i="4" s="1"/>
  <c r="X61" i="4" s="1"/>
  <c r="R57" i="4"/>
  <c r="V57" i="4"/>
  <c r="W57" i="4" s="1"/>
  <c r="X57" i="4" s="1"/>
  <c r="R40" i="4"/>
  <c r="V40" i="4"/>
  <c r="W40" i="4" s="1"/>
  <c r="X40" i="4" s="1"/>
  <c r="S24" i="4"/>
  <c r="V24" i="4"/>
  <c r="W24" i="4" s="1"/>
  <c r="X24" i="4" s="1"/>
  <c r="S39" i="4"/>
  <c r="V39" i="4"/>
  <c r="W39" i="4" s="1"/>
  <c r="X39" i="4" s="1"/>
  <c r="S29" i="4"/>
  <c r="V29" i="4"/>
  <c r="W29" i="4" s="1"/>
  <c r="X29" i="4" s="1"/>
  <c r="S25" i="4"/>
  <c r="V25" i="4"/>
  <c r="W25" i="4" s="1"/>
  <c r="X25" i="4" s="1"/>
  <c r="S64" i="4"/>
  <c r="V64" i="4"/>
  <c r="W64" i="4" s="1"/>
  <c r="X64" i="4" s="1"/>
  <c r="R65" i="4"/>
  <c r="S20" i="4"/>
  <c r="V20" i="4"/>
  <c r="W20" i="4" s="1"/>
  <c r="X20" i="4" s="1"/>
  <c r="S22" i="4"/>
  <c r="V22" i="4"/>
  <c r="W22" i="4" s="1"/>
  <c r="X22" i="4" s="1"/>
  <c r="R62" i="4"/>
  <c r="V62" i="4"/>
  <c r="W62" i="4" s="1"/>
  <c r="X62" i="4" s="1"/>
  <c r="R49" i="4"/>
  <c r="V49" i="4"/>
  <c r="W49" i="4" s="1"/>
  <c r="X49" i="4" s="1"/>
  <c r="S45" i="4"/>
  <c r="V45" i="4"/>
  <c r="W45" i="4" s="1"/>
  <c r="X45" i="4" s="1"/>
  <c r="R58" i="4"/>
  <c r="V58" i="4"/>
  <c r="W58" i="4" s="1"/>
  <c r="X58" i="4" s="1"/>
  <c r="R63" i="4"/>
  <c r="V63" i="4"/>
  <c r="W63" i="4" s="1"/>
  <c r="X63" i="4" s="1"/>
  <c r="R38" i="4"/>
  <c r="V38" i="4"/>
  <c r="W38" i="4" s="1"/>
  <c r="X38" i="4" s="1"/>
  <c r="R39" i="4"/>
  <c r="R26" i="4"/>
  <c r="V26" i="4"/>
  <c r="W26" i="4" s="1"/>
  <c r="X26" i="4" s="1"/>
  <c r="R23" i="4"/>
  <c r="V23" i="4"/>
  <c r="W23" i="4" s="1"/>
  <c r="X23" i="4" s="1"/>
  <c r="R45" i="4"/>
  <c r="S51" i="4"/>
  <c r="S38" i="4"/>
  <c r="R29" i="4"/>
  <c r="S40" i="4"/>
  <c r="S49" i="4"/>
  <c r="S30" i="4"/>
  <c r="R55" i="4"/>
  <c r="S26" i="4"/>
  <c r="S42" i="4"/>
  <c r="S46" i="4"/>
  <c r="R36" i="4"/>
  <c r="R16" i="4"/>
  <c r="S57" i="4"/>
  <c r="R43" i="4"/>
  <c r="R24" i="4"/>
  <c r="S48" i="4"/>
  <c r="R59" i="4"/>
  <c r="R21" i="4"/>
  <c r="R19" i="4"/>
  <c r="Z26" i="2"/>
  <c r="Z22" i="3"/>
  <c r="X26" i="2"/>
  <c r="X22" i="3"/>
  <c r="R26" i="2"/>
  <c r="R22" i="3"/>
  <c r="Y25" i="2"/>
  <c r="Y71" i="3"/>
  <c r="Q25" i="2"/>
  <c r="I23" i="4" s="1"/>
  <c r="Q71" i="3"/>
  <c r="X25" i="2"/>
  <c r="X71" i="3"/>
  <c r="Y23" i="2"/>
  <c r="Y31" i="3"/>
  <c r="X23" i="2"/>
  <c r="X31" i="3"/>
  <c r="Q23" i="2"/>
  <c r="I22" i="4" s="1"/>
  <c r="Q31" i="3"/>
  <c r="Z21" i="2"/>
  <c r="Z21" i="3"/>
  <c r="R21" i="2"/>
  <c r="R21" i="3"/>
  <c r="X21" i="2"/>
  <c r="X21" i="3"/>
  <c r="Y20" i="2"/>
  <c r="Y17" i="3"/>
  <c r="Q20" i="2"/>
  <c r="I19" i="4" s="1"/>
  <c r="Q17" i="3"/>
  <c r="R28" i="2"/>
  <c r="R70" i="3"/>
  <c r="Z31" i="1"/>
  <c r="X28" i="2"/>
  <c r="X70" i="3"/>
  <c r="Q27" i="2"/>
  <c r="I25" i="4" s="1"/>
  <c r="Q27" i="3"/>
  <c r="Y30" i="1"/>
  <c r="Z18" i="1"/>
  <c r="Z22" i="1"/>
  <c r="Y25" i="1"/>
  <c r="Q21" i="2"/>
  <c r="I20" i="4" s="1"/>
  <c r="Y29" i="1"/>
  <c r="Q26" i="2"/>
  <c r="I24" i="4" s="1"/>
  <c r="Y31" i="1"/>
  <c r="Q28" i="2"/>
  <c r="I26" i="4" s="1"/>
  <c r="Y35" i="1"/>
  <c r="Q33" i="2"/>
  <c r="I30" i="4" s="1"/>
  <c r="Y40" i="1"/>
  <c r="Q38" i="2"/>
  <c r="I35" i="4" s="1"/>
  <c r="Y44" i="1"/>
  <c r="Q43" i="2"/>
  <c r="I39" i="4" s="1"/>
  <c r="Z28" i="1"/>
  <c r="R25" i="2"/>
  <c r="Z36" i="1"/>
  <c r="R34" i="2"/>
  <c r="Z43" i="1"/>
  <c r="R42" i="2"/>
  <c r="Y76" i="1"/>
  <c r="Q71" i="2"/>
  <c r="I66" i="4" s="1"/>
  <c r="Z21" i="1"/>
  <c r="Z46" i="1"/>
  <c r="R45" i="2"/>
  <c r="Z54" i="1"/>
  <c r="R54" i="2"/>
  <c r="Z26" i="1"/>
  <c r="R23" i="2"/>
  <c r="Z30" i="1"/>
  <c r="R27" i="2"/>
  <c r="Z34" i="1"/>
  <c r="R32" i="2"/>
  <c r="Z41" i="1"/>
  <c r="R39" i="2"/>
  <c r="Z70" i="1"/>
  <c r="R65" i="2"/>
  <c r="Y71" i="1"/>
  <c r="Q66" i="2"/>
  <c r="I61" i="4" s="1"/>
  <c r="Z19" i="1"/>
  <c r="R17" i="2"/>
  <c r="Z23" i="1"/>
  <c r="Z48" i="1"/>
  <c r="R47" i="2"/>
  <c r="Z52" i="1"/>
  <c r="R52" i="2"/>
  <c r="Z56" i="1"/>
  <c r="R55" i="2"/>
  <c r="Z59" i="1"/>
  <c r="Y60" i="1"/>
  <c r="Z63" i="1"/>
  <c r="R58" i="2"/>
  <c r="Y64" i="1"/>
  <c r="Q59" i="2"/>
  <c r="I54" i="4" s="1"/>
  <c r="Z67" i="1"/>
  <c r="R62" i="2"/>
  <c r="Y68" i="1"/>
  <c r="Q63" i="2"/>
  <c r="I58" i="4" s="1"/>
  <c r="Z72" i="1"/>
  <c r="R67" i="2"/>
  <c r="Z77" i="1"/>
  <c r="R72" i="2"/>
  <c r="Y22" i="1"/>
  <c r="Z35" i="1"/>
  <c r="Z53" i="1"/>
  <c r="Z58" i="1"/>
  <c r="Y75" i="1"/>
  <c r="Y77" i="1"/>
  <c r="Z33" i="1"/>
  <c r="Z37" i="1"/>
  <c r="R35" i="2"/>
  <c r="Y27" i="1"/>
  <c r="Q22" i="2"/>
  <c r="I21" i="4" s="1"/>
  <c r="Y33" i="1"/>
  <c r="Q31" i="2"/>
  <c r="I28" i="4" s="1"/>
  <c r="Y37" i="1"/>
  <c r="Q35" i="2"/>
  <c r="I32" i="4" s="1"/>
  <c r="Y42" i="1"/>
  <c r="Q40" i="2"/>
  <c r="I37" i="4" s="1"/>
  <c r="Z24" i="1"/>
  <c r="R20" i="2"/>
  <c r="Z32" i="1"/>
  <c r="R30" i="2"/>
  <c r="Z17" i="1"/>
  <c r="R15" i="2"/>
  <c r="Z45" i="1"/>
  <c r="R44" i="2"/>
  <c r="Z50" i="1"/>
  <c r="R50" i="2"/>
  <c r="Y58" i="1"/>
  <c r="Z61" i="1"/>
  <c r="Y62" i="1"/>
  <c r="Z65" i="1"/>
  <c r="R60" i="2"/>
  <c r="Y66" i="1"/>
  <c r="Q61" i="2"/>
  <c r="I56" i="4" s="1"/>
  <c r="Z69" i="1"/>
  <c r="R64" i="2"/>
  <c r="Y70" i="1"/>
  <c r="Q65" i="2"/>
  <c r="I60" i="4" s="1"/>
  <c r="Z74" i="1"/>
  <c r="R69" i="2"/>
  <c r="Z40" i="1"/>
  <c r="R38" i="2"/>
  <c r="X65" i="4" l="1"/>
  <c r="AB59" i="4"/>
  <c r="Z15" i="2"/>
  <c r="Z15" i="3"/>
  <c r="Y22" i="2"/>
  <c r="Y26" i="3"/>
  <c r="Z17" i="2"/>
  <c r="Z20" i="3"/>
  <c r="Y65" i="2"/>
  <c r="Y57" i="3"/>
  <c r="Y19" i="2"/>
  <c r="Y30" i="3"/>
  <c r="Z62" i="2"/>
  <c r="Z56" i="3"/>
  <c r="Z44" i="2"/>
  <c r="Z43" i="3"/>
  <c r="Z30" i="2"/>
  <c r="Z18" i="3"/>
  <c r="Y40" i="2"/>
  <c r="Y46" i="3"/>
  <c r="Y31" i="2"/>
  <c r="Y23" i="3"/>
  <c r="Z35" i="2"/>
  <c r="Z29" i="3"/>
  <c r="Y66" i="2"/>
  <c r="Y62" i="3"/>
  <c r="Z39" i="2"/>
  <c r="Z42" i="3"/>
  <c r="Z54" i="2"/>
  <c r="Z40" i="3"/>
  <c r="Z19" i="2"/>
  <c r="Z30" i="3"/>
  <c r="AB24" i="4"/>
  <c r="AB30" i="4"/>
  <c r="Z50" i="2"/>
  <c r="Z39" i="3"/>
  <c r="Y35" i="2"/>
  <c r="Y29" i="3"/>
  <c r="Z33" i="2"/>
  <c r="Z19" i="3"/>
  <c r="Z32" i="2"/>
  <c r="Z28" i="3"/>
  <c r="Z69" i="2"/>
  <c r="Z63" i="3"/>
  <c r="Z64" i="2"/>
  <c r="Z52" i="3"/>
  <c r="Z60" i="2"/>
  <c r="Z60" i="3"/>
  <c r="Z31" i="2"/>
  <c r="Z23" i="3"/>
  <c r="Z53" i="2"/>
  <c r="Z36" i="3"/>
  <c r="Z72" i="2"/>
  <c r="Z64" i="3"/>
  <c r="Y63" i="2"/>
  <c r="Y61" i="3"/>
  <c r="Y59" i="2"/>
  <c r="Y55" i="3"/>
  <c r="Z52" i="2"/>
  <c r="Z48" i="3"/>
  <c r="Y71" i="2"/>
  <c r="Y59" i="3"/>
  <c r="Z34" i="2"/>
  <c r="Z24" i="3"/>
  <c r="Y43" i="2"/>
  <c r="Y38" i="3"/>
  <c r="Y33" i="2"/>
  <c r="Y19" i="3"/>
  <c r="Z16" i="2"/>
  <c r="Z16" i="3"/>
  <c r="AB45" i="4"/>
  <c r="Y72" i="2"/>
  <c r="Y64" i="3"/>
  <c r="Z65" i="2"/>
  <c r="Z57" i="3"/>
  <c r="Z45" i="2"/>
  <c r="Z72" i="3"/>
  <c r="Z38" i="2"/>
  <c r="Z37" i="3"/>
  <c r="Y61" i="2"/>
  <c r="Y51" i="3"/>
  <c r="Y70" i="2"/>
  <c r="Y54" i="3"/>
  <c r="Z67" i="2"/>
  <c r="Z53" i="3"/>
  <c r="Z58" i="2"/>
  <c r="Z50" i="3"/>
  <c r="Z55" i="2"/>
  <c r="Z41" i="3"/>
  <c r="Z47" i="2"/>
  <c r="Z47" i="3"/>
  <c r="Z42" i="2"/>
  <c r="Z34" i="3"/>
  <c r="Y38" i="2"/>
  <c r="Y37" i="3"/>
  <c r="AB49" i="4"/>
  <c r="S63" i="4"/>
  <c r="Z63" i="4"/>
  <c r="AA63" i="4" s="1"/>
  <c r="AB63" i="4" s="1"/>
  <c r="S56" i="4"/>
  <c r="Z56" i="4"/>
  <c r="AA56" i="4" s="1"/>
  <c r="AB56" i="4" s="1"/>
  <c r="S65" i="4"/>
  <c r="Z65" i="4"/>
  <c r="AA65" i="4" s="1"/>
  <c r="AB65" i="4" s="1"/>
  <c r="S61" i="4"/>
  <c r="Z61" i="4"/>
  <c r="AA61" i="4" s="1"/>
  <c r="AB61" i="4" s="1"/>
  <c r="S44" i="4"/>
  <c r="Z44" i="4"/>
  <c r="AA44" i="4" s="1"/>
  <c r="AB44" i="4" s="1"/>
  <c r="AB70" i="4" s="1"/>
  <c r="S17" i="4"/>
  <c r="S15" i="4"/>
  <c r="X18" i="4"/>
  <c r="S18" i="4"/>
  <c r="X17" i="4"/>
  <c r="X15" i="4"/>
  <c r="X69" i="4" s="1"/>
  <c r="X56" i="4"/>
  <c r="W69" i="4"/>
  <c r="Y26" i="2"/>
  <c r="Y22" i="3"/>
  <c r="Z25" i="2"/>
  <c r="Z71" i="3"/>
  <c r="Z23" i="2"/>
  <c r="Z31" i="3"/>
  <c r="Y21" i="2"/>
  <c r="Y21" i="3"/>
  <c r="Z20" i="2"/>
  <c r="Z17" i="3"/>
  <c r="Y28" i="2"/>
  <c r="Y70" i="3"/>
  <c r="Z28" i="2"/>
  <c r="Z70" i="3"/>
  <c r="Y27" i="2"/>
  <c r="Y27" i="3"/>
  <c r="Z27" i="2"/>
  <c r="Z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Flay</author>
    <author>Richard G.J. Flay</author>
  </authors>
  <commentList>
    <comment ref="P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Richard Flay:</t>
        </r>
        <r>
          <rPr>
            <sz val="9"/>
            <color indexed="81"/>
            <rFont val="Tahoma"/>
            <family val="2"/>
          </rPr>
          <t xml:space="preserve">
Sign changed, as runs this day were rotated to port, giving negative sideforce. Subsequent runs model rotated to starboard.
Some yaw error - corrected by subtracting off lift at 0 yaw for same speed.</t>
        </r>
      </text>
    </comment>
    <comment ref="O2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Richard G.J. Flay:</t>
        </r>
        <r>
          <rPr>
            <sz val="9"/>
            <color indexed="81"/>
            <rFont val="Tahoma"/>
            <family val="2"/>
          </rPr>
          <t xml:space="preserve">
Drag seems high. Why?</t>
        </r>
      </text>
    </comment>
    <comment ref="O3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Richard G.J. Flay:</t>
        </r>
        <r>
          <rPr>
            <sz val="9"/>
            <color indexed="81"/>
            <rFont val="Tahoma"/>
            <family val="2"/>
          </rPr>
          <t xml:space="preserve">
Drags may be too low as tank skimmed but model not lowered until after lunch</t>
        </r>
      </text>
    </comment>
    <comment ref="A39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Richard G.J. Flay:</t>
        </r>
        <r>
          <rPr>
            <sz val="9"/>
            <color indexed="81"/>
            <rFont val="Tahoma"/>
            <family val="2"/>
          </rPr>
          <t xml:space="preserve">
These are wrong data. Same as line 31 above.
RF 27/10/13 Corrected 29/10/13 RF</t>
        </r>
      </text>
    </comment>
    <comment ref="N6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Richard Flay:</t>
        </r>
        <r>
          <rPr>
            <sz val="9"/>
            <color indexed="81"/>
            <rFont val="Tahoma"/>
            <family val="2"/>
          </rPr>
          <t xml:space="preserve">
Note comment getting strange results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G.J. Flay</author>
  </authors>
  <commentList>
    <comment ref="N7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Richard G.J. Flay:</t>
        </r>
        <r>
          <rPr>
            <sz val="9"/>
            <color indexed="81"/>
            <rFont val="Tahoma"/>
            <family val="2"/>
          </rPr>
          <t xml:space="preserve">
Data removed from plot to eliminate step. Retained "good run". 15/2/19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G.J. Flay</author>
  </authors>
  <commentList>
    <comment ref="Y7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Richard G.J. Flay:</t>
        </r>
        <r>
          <rPr>
            <sz val="9"/>
            <color indexed="81"/>
            <rFont val="Tahoma"/>
            <family val="2"/>
          </rPr>
          <t xml:space="preserve">
Done on 15/2/2019</t>
        </r>
      </text>
    </comment>
  </commentList>
</comments>
</file>

<file path=xl/sharedStrings.xml><?xml version="1.0" encoding="utf-8"?>
<sst xmlns="http://schemas.openxmlformats.org/spreadsheetml/2006/main" count="419" uniqueCount="222">
  <si>
    <t>Coefficients</t>
  </si>
  <si>
    <t>A=</t>
  </si>
  <si>
    <t>m2</t>
  </si>
  <si>
    <t>rho=</t>
  </si>
  <si>
    <t>kg/m3</t>
  </si>
  <si>
    <t>Test</t>
  </si>
  <si>
    <t>Yaw</t>
  </si>
  <si>
    <t>Speed</t>
  </si>
  <si>
    <t>Stbd Drag Force</t>
  </si>
  <si>
    <t>Port Drag Force</t>
  </si>
  <si>
    <t>FWD Side Force</t>
  </si>
  <si>
    <t>AFT Side Force</t>
  </si>
  <si>
    <t>Heave</t>
  </si>
  <si>
    <t>Pitch</t>
  </si>
  <si>
    <t>Velocity</t>
  </si>
  <si>
    <t>Total Drag</t>
  </si>
  <si>
    <t>Total Lift</t>
  </si>
  <si>
    <t>Resistance</t>
  </si>
  <si>
    <t>Sideforce</t>
  </si>
  <si>
    <t>q [N/m2]</t>
  </si>
  <si>
    <t>CD</t>
  </si>
  <si>
    <t>CL</t>
  </si>
  <si>
    <t>CR</t>
  </si>
  <si>
    <t>CS</t>
  </si>
  <si>
    <t>V1</t>
  </si>
  <si>
    <t>Idea is to put one line of results in here from each test.</t>
  </si>
  <si>
    <t>Comment</t>
  </si>
  <si>
    <t>D1</t>
  </si>
  <si>
    <t>D2</t>
  </si>
  <si>
    <t>V2</t>
  </si>
  <si>
    <t>Model</t>
  </si>
  <si>
    <t>Day</t>
  </si>
  <si>
    <t>D3</t>
  </si>
  <si>
    <t>V3</t>
  </si>
  <si>
    <t>D4</t>
  </si>
  <si>
    <t>Fixed sink and trim tests</t>
  </si>
  <si>
    <t>Average results from all runs</t>
  </si>
  <si>
    <t>Entered by RGJF, 22/10/13</t>
  </si>
  <si>
    <t>Models</t>
  </si>
  <si>
    <t>Wide Vee</t>
  </si>
  <si>
    <t>Narrow Vee</t>
  </si>
  <si>
    <t>Rounded hull</t>
  </si>
  <si>
    <t>Dates</t>
  </si>
  <si>
    <t>shape</t>
  </si>
  <si>
    <t>number</t>
  </si>
  <si>
    <t>deg</t>
  </si>
  <si>
    <t>m/s</t>
  </si>
  <si>
    <t>N</t>
  </si>
  <si>
    <t>mm</t>
  </si>
  <si>
    <t>Measured</t>
  </si>
  <si>
    <t>Calc</t>
  </si>
  <si>
    <t>dynamic pressure</t>
  </si>
  <si>
    <t>coefts</t>
  </si>
  <si>
    <t>Ref. Values</t>
  </si>
  <si>
    <t>Time</t>
  </si>
  <si>
    <t>setup</t>
  </si>
  <si>
    <t>good run</t>
  </si>
  <si>
    <t>Originally didn't change file name before run. Recovered</t>
  </si>
  <si>
    <t>Big bow wave(over model). Set model now to 4degs</t>
  </si>
  <si>
    <t>After set to 8deg</t>
  </si>
  <si>
    <t>Data recorded for 10 sec. Ran again to check recording was working properly. Seemed ok</t>
  </si>
  <si>
    <t>Final run of the day</t>
  </si>
  <si>
    <t>~14.35</t>
  </si>
  <si>
    <t>re-run of test 6 to confirm bow over the top. From now on only test to 1.2m/s.This test done after test 10</t>
  </si>
  <si>
    <t>zero test. Small vibrations of model</t>
  </si>
  <si>
    <t>large (or nice) wake pattern</t>
  </si>
  <si>
    <t>photographed</t>
  </si>
  <si>
    <t>photo again. Strange time. Probably 16.29</t>
  </si>
  <si>
    <t>Data recorded for only 5 sec, not 10 sec. Video + photo</t>
  </si>
  <si>
    <t>waterline well below on leeward side.</t>
  </si>
  <si>
    <t>Lunch. Put new model in. Lowered model in tank to get correct waterline. Also adjusted for yaw. Note U-model had +ve sideforce @ 0AoA indicating slight yaw or assymetry</t>
  </si>
  <si>
    <t>Ian skimmed tank before tests. Previous test with model rotated bow to port, following tests with bow rotated to starboard.  Data recorded for only 5 sec, not 10 sec. After set to 16 degs</t>
  </si>
  <si>
    <t>dropped model again to even water line</t>
  </si>
  <si>
    <t>good run, wrong clapper board used in test</t>
  </si>
  <si>
    <t>water over bow a bit. Adjusted angle??</t>
  </si>
  <si>
    <t>a Little water over bow. Reduce speed to 1.0m/s to capture curve more accurately</t>
  </si>
  <si>
    <t>Waterline initially not perfect. Weight on stern to even waterline. Lowered model slightly. Twater = 19 degC</t>
  </si>
  <si>
    <t>re-done at 0.4 m/s because had a large sideforce in previous test. Removed weight for this test and added shim plate.Pushed hard to port</t>
  </si>
  <si>
    <t>Getting very strange data especially from sideforce. Re test some cases</t>
  </si>
  <si>
    <t>Still getting strange data. Decide to remove model and re-test all conditions on day 4</t>
  </si>
  <si>
    <t>Twater = 16</t>
  </si>
  <si>
    <t>adjusted to 8degs</t>
  </si>
  <si>
    <t>set model to 12 degrees</t>
  </si>
  <si>
    <t>Adjust to 16 degrees</t>
  </si>
  <si>
    <t>Final test of the day. Model removed 15.37pm</t>
  </si>
  <si>
    <t>Note dummy yellow rows inserted to keep legend ordered</t>
  </si>
  <si>
    <t>Edited 23/10/13, 24/10/13</t>
  </si>
  <si>
    <t>Page copied from "Results vs speed" and then rows manipulated to group same angles together for each model</t>
  </si>
  <si>
    <t>All these figures need to be changed to show results vs yaw.</t>
  </si>
  <si>
    <t>RGJF 24/10/13</t>
  </si>
  <si>
    <t>Done, RGJF 25/10/13</t>
  </si>
  <si>
    <t>Need to add Florin's CFD sideforce predictions</t>
  </si>
  <si>
    <t>3 knots</t>
  </si>
  <si>
    <t>= x m/s</t>
  </si>
  <si>
    <t>rho water</t>
  </si>
  <si>
    <t>kg/m^3</t>
  </si>
  <si>
    <t>Vref</t>
  </si>
  <si>
    <t>Aref</t>
  </si>
  <si>
    <t>m^2</t>
  </si>
  <si>
    <t>Revised values using polynomials fitted to Florin's spreadsheet</t>
  </si>
  <si>
    <t>And using a fixed reference area = immersed projected side area</t>
  </si>
  <si>
    <r>
      <t>y = 0.0003x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+ 0.0072x</t>
    </r>
  </si>
  <si>
    <t>leeway angle</t>
  </si>
  <si>
    <t>V</t>
  </si>
  <si>
    <r>
      <t>y = 0.0003x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+ 0.005x</t>
    </r>
  </si>
  <si>
    <r>
      <t>-4E-07x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+ 0.0035x</t>
    </r>
  </si>
  <si>
    <t>Copied from TankDataAnalysisV10 on 27/10/13</t>
  </si>
  <si>
    <t>Florin's results</t>
  </si>
  <si>
    <t>CFD</t>
  </si>
  <si>
    <t>Note that the coefficients are based on model scale, whereas the CFD was at full scale. Thus this agreement, although good, might be fortuitous.</t>
  </si>
  <si>
    <t>The Prohaska approach will be applied to the drag measurements to see what affect it has.</t>
  </si>
  <si>
    <t>Note also that it is difficult to know how to scale the lift in the way that the drag is scaled.</t>
  </si>
  <si>
    <t>Using the Prohaska approach</t>
  </si>
  <si>
    <t>RGJ Flay, 28/10/13</t>
  </si>
  <si>
    <t>Fr</t>
  </si>
  <si>
    <t>g</t>
  </si>
  <si>
    <t>L</t>
  </si>
  <si>
    <t>m</t>
  </si>
  <si>
    <t>m/s2</t>
  </si>
  <si>
    <t>RT</t>
  </si>
  <si>
    <t>rhowater</t>
  </si>
  <si>
    <t>Nominal</t>
  </si>
  <si>
    <t>CT</t>
  </si>
  <si>
    <t>Re</t>
  </si>
  <si>
    <t>T</t>
  </si>
  <si>
    <t>mu</t>
  </si>
  <si>
    <t>mu constants</t>
  </si>
  <si>
    <t>A</t>
  </si>
  <si>
    <t>B</t>
  </si>
  <si>
    <t>C</t>
  </si>
  <si>
    <t>Fr4/CF0</t>
  </si>
  <si>
    <t>CT/CF0</t>
  </si>
  <si>
    <t>Y-axis intercept should be around 1.2 or so.</t>
  </si>
  <si>
    <t>CF0ms</t>
  </si>
  <si>
    <t>CF0fs</t>
  </si>
  <si>
    <t>Should I also plot the leeway data?</t>
  </si>
  <si>
    <t>Cf0ms - CF0fs</t>
  </si>
  <si>
    <t xml:space="preserve">  Yes, done.</t>
  </si>
  <si>
    <t>D CT</t>
  </si>
  <si>
    <t>average</t>
  </si>
  <si>
    <t>Error in CT calc fixed 29/10/13. Did not divide by wetted surface area.</t>
  </si>
  <si>
    <t>S, m2</t>
  </si>
  <si>
    <t>These results show that 1+k reduces as the model become more slender</t>
  </si>
  <si>
    <t>1+k also increases as the yaw angle increases</t>
  </si>
  <si>
    <t>Similar behaviour to 0 yaw for lower angles but higher angles have much higher values.</t>
  </si>
  <si>
    <t>k</t>
  </si>
  <si>
    <t>This sheet used to calculate the form factor, k</t>
  </si>
  <si>
    <t>fractional</t>
  </si>
  <si>
    <t>D(CT)/CT</t>
  </si>
  <si>
    <t>decrease</t>
  </si>
  <si>
    <t>If 1+k = 1</t>
  </si>
  <si>
    <t>then</t>
  </si>
  <si>
    <t>is approx 19%</t>
  </si>
  <si>
    <t>Prohaska correction for yaw angles up to 8 deg</t>
  </si>
  <si>
    <t>Above 8 deg there is likely to be separation</t>
  </si>
  <si>
    <t>and assumptions used to develop the approach will not hold</t>
  </si>
  <si>
    <t>Use different 1+k factors for each model, as per figures below.</t>
  </si>
  <si>
    <t>Calculate full-scale drag coefficient by applying</t>
  </si>
  <si>
    <t>say 1+5 = 1.5 for V1 model</t>
  </si>
  <si>
    <t>say 1+k = 0.9 for V2 model</t>
  </si>
  <si>
    <t>Say 1+k = 0.5 for V3 model.</t>
  </si>
  <si>
    <t>1+k</t>
  </si>
  <si>
    <t>CTfs</t>
  </si>
  <si>
    <t>calculate new coefts</t>
  </si>
  <si>
    <t>based on projected side area</t>
  </si>
  <si>
    <t>A(proj side)</t>
  </si>
  <si>
    <t>delta</t>
  </si>
  <si>
    <t>plot the "corrected data on the following to see if we can see small changes in the drag coefficients.</t>
  </si>
  <si>
    <t>LIFT</t>
  </si>
  <si>
    <t>R² = 0.9981</t>
  </si>
  <si>
    <t>R² = 1</t>
  </si>
  <si>
    <t>R² = 0.9993</t>
  </si>
  <si>
    <t>Copied from SF_FromFlorinCFDPredictions3 on 3/11/13</t>
  </si>
  <si>
    <t>DRAG</t>
  </si>
  <si>
    <r>
      <t>y = 5.25E-05x</t>
    </r>
    <r>
      <rPr>
        <vertAlign val="superscript"/>
        <sz val="14"/>
        <color rgb="FF000000"/>
        <rFont val="Calibri"/>
        <family val="2"/>
        <scheme val="minor"/>
      </rPr>
      <t>2</t>
    </r>
    <r>
      <rPr>
        <sz val="14"/>
        <color rgb="FF000000"/>
        <rFont val="Calibri"/>
        <family val="2"/>
        <scheme val="minor"/>
      </rPr>
      <t xml:space="preserve"> + 1.15E-04x + 1.03E-02</t>
    </r>
  </si>
  <si>
    <r>
      <t>y = 2.33E-04x</t>
    </r>
    <r>
      <rPr>
        <vertAlign val="superscript"/>
        <sz val="14"/>
        <color rgb="FF000000"/>
        <rFont val="Calibri"/>
        <family val="2"/>
        <scheme val="minor"/>
      </rPr>
      <t>2</t>
    </r>
    <r>
      <rPr>
        <sz val="14"/>
        <color rgb="FF000000"/>
        <rFont val="Calibri"/>
        <family val="2"/>
        <scheme val="minor"/>
      </rPr>
      <t xml:space="preserve"> - 1.13E-03x + 1.07E-02</t>
    </r>
  </si>
  <si>
    <r>
      <t>y = 2.47E-04x</t>
    </r>
    <r>
      <rPr>
        <vertAlign val="superscript"/>
        <sz val="14"/>
        <color rgb="FF000000"/>
        <rFont val="Calibri"/>
        <family val="2"/>
        <scheme val="minor"/>
      </rPr>
      <t>2</t>
    </r>
    <r>
      <rPr>
        <sz val="14"/>
        <color rgb="FF000000"/>
        <rFont val="Calibri"/>
        <family val="2"/>
        <scheme val="minor"/>
      </rPr>
      <t xml:space="preserve"> - 5.83E-04x + 6.38E-03</t>
    </r>
  </si>
  <si>
    <t>Froude Scaling</t>
  </si>
  <si>
    <t>RGjF 3/11/2013</t>
  </si>
  <si>
    <t>Model speed</t>
  </si>
  <si>
    <t>Lfs</t>
  </si>
  <si>
    <t>Lm [m]</t>
  </si>
  <si>
    <t>Eq V f-s</t>
  </si>
  <si>
    <t>Drag coeft looks too high. Must be error. RF 15/2/19</t>
  </si>
  <si>
    <t>On basis of fitting straight line</t>
  </si>
  <si>
    <t>Change the k's</t>
  </si>
  <si>
    <t>to larger values</t>
  </si>
  <si>
    <t>RF 19/8/2022</t>
  </si>
  <si>
    <t>Some minor editing whilst massaging the paper to get ready to submit to J Sailing Technology</t>
  </si>
  <si>
    <t>IMV queried the Prohaska plots</t>
  </si>
  <si>
    <t>I need to say in the paper that the corrections have been done for low yaw angles on the assumption</t>
  </si>
  <si>
    <t>that larger yaw angles will give rise to flow separation, and thus invalidate the method.</t>
  </si>
  <si>
    <t>In the 2019 incarnation of the paper the 1 + k values used were 1.3, 1.1 and 1.</t>
  </si>
  <si>
    <t>Remove CD for V1 0.4 m/s as it is too high.</t>
  </si>
  <si>
    <t>RF 19/8/22</t>
  </si>
  <si>
    <t>Calculate average y-axis intercept for the three cases</t>
  </si>
  <si>
    <t>Ave</t>
  </si>
  <si>
    <t>round:</t>
  </si>
  <si>
    <t>Nos</t>
  </si>
  <si>
    <t>revised</t>
  </si>
  <si>
    <t>RF 18/8/22</t>
  </si>
  <si>
    <t>U</t>
  </si>
  <si>
    <t>Edited 22/8/22 by RF for submission to JST. V1,2,3 changed to U, V1, V2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</si>
  <si>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Times New Roman"/>
        <family val="1"/>
      </rPr>
      <t>°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</si>
  <si>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1"/>
        <charset val="2"/>
        <scheme val="minor"/>
      </rPr>
      <t>°</t>
    </r>
  </si>
  <si>
    <t>8°</t>
  </si>
  <si>
    <t>12°</t>
  </si>
  <si>
    <t>16°</t>
  </si>
  <si>
    <t>24°</t>
  </si>
  <si>
    <t>U Round</t>
  </si>
  <si>
    <t>V1 Wide Vee</t>
  </si>
  <si>
    <t>V2 Narrow Vee</t>
  </si>
  <si>
    <t>0°</t>
  </si>
  <si>
    <t>4°</t>
  </si>
  <si>
    <t xml:space="preserve">leeway </t>
  </si>
  <si>
    <t>superseded, 22/8/22</t>
  </si>
  <si>
    <t>revised values based on plots above. RF 22/8/22</t>
  </si>
  <si>
    <t>U model</t>
  </si>
  <si>
    <t>V1 model</t>
  </si>
  <si>
    <t>V2 model</t>
  </si>
  <si>
    <t>Effect of scaling the drag coefficient using the Prohaska method</t>
  </si>
  <si>
    <t>Prohaska corr.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</si>
</sst>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vertAlign val="superscript"/>
      <sz val="14"/>
      <color rgb="FF00000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2"/>
      <charset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4" borderId="1" applyNumberFormat="0" applyFont="0" applyAlignment="0" applyProtection="0"/>
    <xf numFmtId="0" fontId="1" fillId="0" borderId="0"/>
  </cellStyleXfs>
  <cellXfs count="33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2" fillId="2" borderId="0" xfId="1"/>
    <xf numFmtId="164" fontId="2" fillId="2" borderId="0" xfId="1" applyNumberFormat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1" xfId="2" applyFont="1"/>
    <xf numFmtId="0" fontId="0" fillId="4" borderId="0" xfId="2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4" borderId="1" xfId="2" applyNumberFormat="1" applyFont="1"/>
    <xf numFmtId="0" fontId="2" fillId="2" borderId="1" xfId="1" applyBorder="1"/>
    <xf numFmtId="0" fontId="0" fillId="0" borderId="0" xfId="0" quotePrefix="1"/>
    <xf numFmtId="0" fontId="6" fillId="0" borderId="0" xfId="0" applyFon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0" borderId="4" xfId="0" applyNumberFormat="1" applyBorder="1"/>
    <xf numFmtId="165" fontId="0" fillId="0" borderId="6" xfId="0" applyNumberFormat="1" applyBorder="1"/>
    <xf numFmtId="165" fontId="0" fillId="0" borderId="9" xfId="0" applyNumberFormat="1" applyBorder="1"/>
    <xf numFmtId="0" fontId="8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left" vertical="center" readingOrder="1"/>
    </xf>
    <xf numFmtId="0" fontId="0" fillId="5" borderId="0" xfId="0" applyFill="1"/>
    <xf numFmtId="0" fontId="11" fillId="0" borderId="0" xfId="0" applyFont="1"/>
  </cellXfs>
  <cellStyles count="4">
    <cellStyle name="Bad" xfId="1" builtinId="27"/>
    <cellStyle name="Normal" xfId="0" builtinId="0"/>
    <cellStyle name="Normal 2" xfId="3" xr:uid="{2594BA94-8346-D64D-90E7-6195FC37E441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speed'!$O$15:$O$19</c:f>
              <c:numCache>
                <c:formatCode>General</c:formatCode>
                <c:ptCount val="5"/>
                <c:pt idx="0">
                  <c:v>8.2277369999999989E-3</c:v>
                </c:pt>
                <c:pt idx="1">
                  <c:v>9.9304519999999993E-2</c:v>
                </c:pt>
                <c:pt idx="2">
                  <c:v>0.51653595299999999</c:v>
                </c:pt>
                <c:pt idx="3">
                  <c:v>1.6150736499999998</c:v>
                </c:pt>
                <c:pt idx="4">
                  <c:v>2.4866430589999999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4-48E3-92B5-D803FD42D89B}"/>
            </c:ext>
          </c:extLst>
        </c:ser>
        <c:ser>
          <c:idx val="1"/>
          <c:order val="1"/>
          <c:tx>
            <c:strRef>
              <c:f>'Results vs speed'!$P$3</c:f>
              <c:strCache>
                <c:ptCount val="1"/>
                <c:pt idx="0">
                  <c:v>U, 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speed'!$L$20:$L$23</c:f>
              <c:numCache>
                <c:formatCode>General</c:formatCode>
                <c:ptCount val="4"/>
                <c:pt idx="0">
                  <c:v>0.40036896100000002</c:v>
                </c:pt>
                <c:pt idx="1">
                  <c:v>0.80652782099999998</c:v>
                </c:pt>
                <c:pt idx="2">
                  <c:v>1.1985547809999999</c:v>
                </c:pt>
                <c:pt idx="3">
                  <c:v>1.605772797</c:v>
                </c:pt>
              </c:numCache>
            </c:numRef>
          </c:xVal>
          <c:yVal>
            <c:numRef>
              <c:f>'Results vs speed'!$O$20:$O$23</c:f>
              <c:numCache>
                <c:formatCode>General</c:formatCode>
                <c:ptCount val="4"/>
                <c:pt idx="0">
                  <c:v>5.9672465000000001E-2</c:v>
                </c:pt>
                <c:pt idx="1">
                  <c:v>0.54670943900000002</c:v>
                </c:pt>
                <c:pt idx="2">
                  <c:v>1.737280025</c:v>
                </c:pt>
                <c:pt idx="3">
                  <c:v>2.673215506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4-48E3-92B5-D803FD42D89B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speed'!$L$25:$L$28</c:f>
              <c:numCache>
                <c:formatCode>General</c:formatCode>
                <c:ptCount val="4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  <c:pt idx="3">
                  <c:v>1.1942638269999999</c:v>
                </c:pt>
              </c:numCache>
            </c:numRef>
          </c:xVal>
          <c:yVal>
            <c:numRef>
              <c:f>'Results vs speed'!$O$25:$O$28</c:f>
              <c:numCache>
                <c:formatCode>General</c:formatCode>
                <c:ptCount val="4"/>
                <c:pt idx="0">
                  <c:v>0.221632302</c:v>
                </c:pt>
                <c:pt idx="1">
                  <c:v>0.60233237300000009</c:v>
                </c:pt>
                <c:pt idx="2">
                  <c:v>1.8254384689999998</c:v>
                </c:pt>
                <c:pt idx="3">
                  <c:v>1.3806132279999999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54-48E3-92B5-D803FD42D89B}"/>
            </c:ext>
          </c:extLst>
        </c:ser>
        <c:ser>
          <c:idx val="14"/>
          <c:order val="3"/>
          <c:tx>
            <c:strRef>
              <c:f>'Results vs speed'!$P$5</c:f>
              <c:strCache>
                <c:ptCount val="1"/>
                <c:pt idx="0">
                  <c:v>U, 12°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speed'!$L$29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speed'!$O$29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54-48E3-92B5-D803FD42D89B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speed'!$O$30:$O$32</c:f>
              <c:numCache>
                <c:formatCode>General</c:formatCode>
                <c:ptCount val="3"/>
                <c:pt idx="0">
                  <c:v>0.11927837500000001</c:v>
                </c:pt>
                <c:pt idx="1">
                  <c:v>0.48797140699999986</c:v>
                </c:pt>
                <c:pt idx="2">
                  <c:v>2.0054195400000001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54-48E3-92B5-D803FD42D89B}"/>
            </c:ext>
          </c:extLst>
        </c:ser>
        <c:ser>
          <c:idx val="4"/>
          <c:order val="5"/>
          <c:tx>
            <c:strRef>
              <c:f>'Results vs speed'!$P$7</c:f>
              <c:strCache>
                <c:ptCount val="1"/>
                <c:pt idx="0">
                  <c:v>U, 24°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'Results vs speed'!$L$33:$L$35</c:f>
              <c:numCache>
                <c:formatCode>General</c:formatCode>
                <c:ptCount val="3"/>
                <c:pt idx="0">
                  <c:v>0.40077541500000002</c:v>
                </c:pt>
                <c:pt idx="1">
                  <c:v>0.80715357399999998</c:v>
                </c:pt>
                <c:pt idx="2">
                  <c:v>1.196083969</c:v>
                </c:pt>
              </c:numCache>
            </c:numRef>
          </c:xVal>
          <c:yVal>
            <c:numRef>
              <c:f>'Results vs speed'!$O$33:$O$35</c:f>
              <c:numCache>
                <c:formatCode>General</c:formatCode>
                <c:ptCount val="3"/>
                <c:pt idx="0">
                  <c:v>0.306835264</c:v>
                </c:pt>
                <c:pt idx="1">
                  <c:v>1.0403195900000002</c:v>
                </c:pt>
                <c:pt idx="2">
                  <c:v>2.8111068349999999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54-48E3-92B5-D803FD42D89B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speed'!$O$37:$O$40</c:f>
              <c:numCache>
                <c:formatCode>General</c:formatCode>
                <c:ptCount val="4"/>
                <c:pt idx="0">
                  <c:v>2.7794197E-2</c:v>
                </c:pt>
                <c:pt idx="1">
                  <c:v>0.43268670799999998</c:v>
                </c:pt>
                <c:pt idx="2">
                  <c:v>0.82467747499999999</c:v>
                </c:pt>
                <c:pt idx="3">
                  <c:v>1.2398563490000001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54-48E3-92B5-D803FD42D89B}"/>
            </c:ext>
          </c:extLst>
        </c:ser>
        <c:ser>
          <c:idx val="15"/>
          <c:order val="7"/>
          <c:tx>
            <c:strRef>
              <c:f>'Results vs speed'!$Q$3</c:f>
              <c:strCache>
                <c:ptCount val="1"/>
                <c:pt idx="0">
                  <c:v>V1, 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speed'!$L$41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speed'!$O$41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54-48E3-92B5-D803FD42D89B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speed'!$O$42:$O$47</c:f>
              <c:numCache>
                <c:formatCode>General</c:formatCode>
                <c:ptCount val="6"/>
                <c:pt idx="0">
                  <c:v>6.2739980000000001E-2</c:v>
                </c:pt>
                <c:pt idx="1">
                  <c:v>0.53100438999999999</c:v>
                </c:pt>
                <c:pt idx="2">
                  <c:v>0.95143992700000002</c:v>
                </c:pt>
                <c:pt idx="3">
                  <c:v>1.682721887</c:v>
                </c:pt>
                <c:pt idx="4">
                  <c:v>1.805329822</c:v>
                </c:pt>
                <c:pt idx="5">
                  <c:v>1.6372181589999999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54-48E3-92B5-D803FD42D89B}"/>
            </c:ext>
          </c:extLst>
        </c:ser>
        <c:ser>
          <c:idx val="16"/>
          <c:order val="9"/>
          <c:tx>
            <c:strRef>
              <c:f>'Results vs speed'!$Q$5</c:f>
              <c:strCache>
                <c:ptCount val="1"/>
                <c:pt idx="0">
                  <c:v>V1, 12°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speed'!$L$48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speed'!$O$48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54-48E3-92B5-D803FD42D89B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speed'!$O$49:$O$52</c:f>
              <c:numCache>
                <c:formatCode>General</c:formatCode>
                <c:ptCount val="4"/>
                <c:pt idx="0">
                  <c:v>0.17309189899999999</c:v>
                </c:pt>
                <c:pt idx="1">
                  <c:v>0.92767938400000005</c:v>
                </c:pt>
                <c:pt idx="2">
                  <c:v>2.0713320180000001</c:v>
                </c:pt>
                <c:pt idx="3">
                  <c:v>3.5402592590000004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54-48E3-92B5-D803FD42D89B}"/>
            </c:ext>
          </c:extLst>
        </c:ser>
        <c:ser>
          <c:idx val="8"/>
          <c:order val="11"/>
          <c:tx>
            <c:strRef>
              <c:f>'Results vs speed'!$Q$7</c:f>
              <c:strCache>
                <c:ptCount val="1"/>
                <c:pt idx="0">
                  <c:v>V1, 24°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'Results vs speed'!$L$53:$L$56</c:f>
              <c:numCache>
                <c:formatCode>General</c:formatCode>
                <c:ptCount val="4"/>
                <c:pt idx="0">
                  <c:v>0.40032908499999997</c:v>
                </c:pt>
                <c:pt idx="1">
                  <c:v>0.80901094500000004</c:v>
                </c:pt>
                <c:pt idx="2">
                  <c:v>1.003192364</c:v>
                </c:pt>
                <c:pt idx="3">
                  <c:v>1.194729685</c:v>
                </c:pt>
              </c:numCache>
            </c:numRef>
          </c:xVal>
          <c:yVal>
            <c:numRef>
              <c:f>'Results vs speed'!$O$53:$O$56</c:f>
              <c:numCache>
                <c:formatCode>General</c:formatCode>
                <c:ptCount val="4"/>
                <c:pt idx="0">
                  <c:v>0.46712446199999996</c:v>
                </c:pt>
                <c:pt idx="1">
                  <c:v>1.8761560489999998</c:v>
                </c:pt>
                <c:pt idx="2">
                  <c:v>3.0296824060000001</c:v>
                </c:pt>
                <c:pt idx="3">
                  <c:v>3.9354020369999994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54-48E3-92B5-D803FD42D89B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speed'!$O$58:$O$60</c:f>
              <c:numCache>
                <c:formatCode>General</c:formatCode>
                <c:ptCount val="3"/>
                <c:pt idx="0">
                  <c:v>3.3049399E-2</c:v>
                </c:pt>
                <c:pt idx="1">
                  <c:v>0.150880187</c:v>
                </c:pt>
                <c:pt idx="2">
                  <c:v>0.54744192999999997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54-48E3-92B5-D803FD42D89B}"/>
            </c:ext>
          </c:extLst>
        </c:ser>
        <c:ser>
          <c:idx val="10"/>
          <c:order val="13"/>
          <c:tx>
            <c:strRef>
              <c:f>'Results vs speed'!$R$3</c:f>
              <c:strCache>
                <c:ptCount val="1"/>
                <c:pt idx="0">
                  <c:v>V2, 4°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speed'!$L$61:$L$63</c:f>
              <c:numCache>
                <c:formatCode>General</c:formatCode>
                <c:ptCount val="3"/>
                <c:pt idx="0">
                  <c:v>0.399398115</c:v>
                </c:pt>
                <c:pt idx="1">
                  <c:v>0.80615512700000003</c:v>
                </c:pt>
                <c:pt idx="2">
                  <c:v>1.196628434</c:v>
                </c:pt>
              </c:numCache>
            </c:numRef>
          </c:xVal>
          <c:yVal>
            <c:numRef>
              <c:f>'Results vs speed'!$O$61:$O$63</c:f>
              <c:numCache>
                <c:formatCode>General</c:formatCode>
                <c:ptCount val="3"/>
                <c:pt idx="0">
                  <c:v>2.2953411E-2</c:v>
                </c:pt>
                <c:pt idx="1">
                  <c:v>0.27120161000000004</c:v>
                </c:pt>
                <c:pt idx="2">
                  <c:v>0.55746650600000003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54-48E3-92B5-D803FD42D89B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speed'!$O$64:$O$66</c:f>
              <c:numCache>
                <c:formatCode>General</c:formatCode>
                <c:ptCount val="3"/>
                <c:pt idx="0">
                  <c:v>0.136457726</c:v>
                </c:pt>
                <c:pt idx="1">
                  <c:v>0.22767566100000003</c:v>
                </c:pt>
                <c:pt idx="2">
                  <c:v>0.78753594500000013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54-48E3-92B5-D803FD42D89B}"/>
            </c:ext>
          </c:extLst>
        </c:ser>
        <c:ser>
          <c:idx val="13"/>
          <c:order val="15"/>
          <c:tx>
            <c:strRef>
              <c:f>'Results vs speed'!$R$5</c:f>
              <c:strCache>
                <c:ptCount val="1"/>
                <c:pt idx="0">
                  <c:v>V2, 12°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speed'!$L$67:$L$69</c:f>
              <c:numCache>
                <c:formatCode>General</c:formatCode>
                <c:ptCount val="3"/>
                <c:pt idx="0">
                  <c:v>0.39940424800000002</c:v>
                </c:pt>
                <c:pt idx="1">
                  <c:v>0.80926551300000005</c:v>
                </c:pt>
                <c:pt idx="2">
                  <c:v>1.1966545070000001</c:v>
                </c:pt>
              </c:numCache>
            </c:numRef>
          </c:xVal>
          <c:yVal>
            <c:numRef>
              <c:f>'Results vs speed'!$O$67:$O$69</c:f>
              <c:numCache>
                <c:formatCode>General</c:formatCode>
                <c:ptCount val="3"/>
                <c:pt idx="0">
                  <c:v>9.3173092000000013E-2</c:v>
                </c:pt>
                <c:pt idx="1">
                  <c:v>0.68920274799999992</c:v>
                </c:pt>
                <c:pt idx="2">
                  <c:v>1.2342780019999999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54-48E3-92B5-D803FD42D89B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speed'!$O$70:$O$72</c:f>
              <c:numCache>
                <c:formatCode>General</c:formatCode>
                <c:ptCount val="3"/>
                <c:pt idx="0">
                  <c:v>0.24446905000000002</c:v>
                </c:pt>
                <c:pt idx="1">
                  <c:v>0.93636077299999987</c:v>
                </c:pt>
                <c:pt idx="2">
                  <c:v>2.0429319759999998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A54-48E3-92B5-D803FD42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26464"/>
        <c:axId val="107689088"/>
      </c:scatterChart>
      <c:valAx>
        <c:axId val="105326464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07689088"/>
        <c:crosses val="autoZero"/>
        <c:crossBetween val="midCat"/>
        <c:majorUnit val="0.2"/>
      </c:valAx>
      <c:valAx>
        <c:axId val="107689088"/>
        <c:scaling>
          <c:orientation val="minMax"/>
          <c:max val="5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 i="1"/>
                  <a:t>F</a:t>
                </a:r>
                <a:r>
                  <a:rPr lang="en-US" b="0" i="1" baseline="-25000"/>
                  <a:t>D</a:t>
                </a:r>
                <a:r>
                  <a:rPr lang="en-US" b="0"/>
                  <a:t>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26464"/>
        <c:crosses val="autoZero"/>
        <c:crossBetween val="midCat"/>
        <c:majorUnit val="1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2.5309909618639943E-2"/>
          <c:y val="0.75302360657107936"/>
          <c:w val="0.95934353271391171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84916439892793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speed'!$P$15:$P$19</c:f>
              <c:numCache>
                <c:formatCode>General</c:formatCode>
                <c:ptCount val="5"/>
                <c:pt idx="0">
                  <c:v>5.1265825000000001E-2</c:v>
                </c:pt>
                <c:pt idx="1">
                  <c:v>-2.7159804000000003E-2</c:v>
                </c:pt>
                <c:pt idx="2">
                  <c:v>-3.4391373000000003E-2</c:v>
                </c:pt>
                <c:pt idx="3">
                  <c:v>-0.18980650200000002</c:v>
                </c:pt>
                <c:pt idx="4">
                  <c:v>-0.33239351500000003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5-4688-ACF7-7C963201E1B9}"/>
            </c:ext>
          </c:extLst>
        </c:ser>
        <c:ser>
          <c:idx val="1"/>
          <c:order val="1"/>
          <c:tx>
            <c:strRef>
              <c:f>'Results vs speed'!$P$3</c:f>
              <c:strCache>
                <c:ptCount val="1"/>
                <c:pt idx="0">
                  <c:v>U, 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speed'!$L$20:$L$23</c:f>
              <c:numCache>
                <c:formatCode>General</c:formatCode>
                <c:ptCount val="4"/>
                <c:pt idx="0">
                  <c:v>0.40036896100000002</c:v>
                </c:pt>
                <c:pt idx="1">
                  <c:v>0.80652782099999998</c:v>
                </c:pt>
                <c:pt idx="2">
                  <c:v>1.1985547809999999</c:v>
                </c:pt>
                <c:pt idx="3">
                  <c:v>1.605772797</c:v>
                </c:pt>
              </c:numCache>
            </c:numRef>
          </c:xVal>
          <c:yVal>
            <c:numRef>
              <c:f>'Results vs speed'!$P$20:$P$23</c:f>
              <c:numCache>
                <c:formatCode>General</c:formatCode>
                <c:ptCount val="4"/>
                <c:pt idx="0">
                  <c:v>3.5489809999999997E-2</c:v>
                </c:pt>
                <c:pt idx="1">
                  <c:v>5.7243871000000002E-2</c:v>
                </c:pt>
                <c:pt idx="2">
                  <c:v>0.24324865299999993</c:v>
                </c:pt>
                <c:pt idx="3">
                  <c:v>0.70147218500000008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5-4688-ACF7-7C963201E1B9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speed'!$L$25:$L$28</c:f>
              <c:numCache>
                <c:formatCode>General</c:formatCode>
                <c:ptCount val="4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  <c:pt idx="3">
                  <c:v>1.1942638269999999</c:v>
                </c:pt>
              </c:numCache>
            </c:numRef>
          </c:xVal>
          <c:yVal>
            <c:numRef>
              <c:f>'Results vs speed'!$P$25:$P$28</c:f>
              <c:numCache>
                <c:formatCode>General</c:formatCode>
                <c:ptCount val="4"/>
                <c:pt idx="0">
                  <c:v>4.3571464000000011E-2</c:v>
                </c:pt>
                <c:pt idx="1">
                  <c:v>0.21815929199999995</c:v>
                </c:pt>
                <c:pt idx="2">
                  <c:v>0.97098647100000002</c:v>
                </c:pt>
                <c:pt idx="3">
                  <c:v>0.83014633100000002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C5-4688-ACF7-7C963201E1B9}"/>
            </c:ext>
          </c:extLst>
        </c:ser>
        <c:ser>
          <c:idx val="14"/>
          <c:order val="3"/>
          <c:tx>
            <c:strRef>
              <c:f>'Results vs speed'!$P$5</c:f>
              <c:strCache>
                <c:ptCount val="1"/>
                <c:pt idx="0">
                  <c:v>U, 12°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speed'!$L$29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speed'!$P$29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C5-4688-ACF7-7C963201E1B9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speed'!$P$30:$P$32</c:f>
              <c:numCache>
                <c:formatCode>General</c:formatCode>
                <c:ptCount val="3"/>
                <c:pt idx="0">
                  <c:v>0.29648214899999997</c:v>
                </c:pt>
                <c:pt idx="1">
                  <c:v>0.74368450399999997</c:v>
                </c:pt>
                <c:pt idx="2">
                  <c:v>2.0887670209999998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C5-4688-ACF7-7C963201E1B9}"/>
            </c:ext>
          </c:extLst>
        </c:ser>
        <c:ser>
          <c:idx val="4"/>
          <c:order val="5"/>
          <c:tx>
            <c:strRef>
              <c:f>'Results vs speed'!$P$7</c:f>
              <c:strCache>
                <c:ptCount val="1"/>
                <c:pt idx="0">
                  <c:v>U, 24°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'Results vs speed'!$L$33:$L$35</c:f>
              <c:numCache>
                <c:formatCode>General</c:formatCode>
                <c:ptCount val="3"/>
                <c:pt idx="0">
                  <c:v>0.40077541500000002</c:v>
                </c:pt>
                <c:pt idx="1">
                  <c:v>0.80715357399999998</c:v>
                </c:pt>
                <c:pt idx="2">
                  <c:v>1.196083969</c:v>
                </c:pt>
              </c:numCache>
            </c:numRef>
          </c:xVal>
          <c:yVal>
            <c:numRef>
              <c:f>'Results vs speed'!$P$33:$P$35</c:f>
              <c:numCache>
                <c:formatCode>General</c:formatCode>
                <c:ptCount val="3"/>
                <c:pt idx="0">
                  <c:v>0.56107661600000003</c:v>
                </c:pt>
                <c:pt idx="1">
                  <c:v>1.2743562690000001</c:v>
                </c:pt>
                <c:pt idx="2">
                  <c:v>3.239525564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C5-4688-ACF7-7C963201E1B9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speed'!$P$37:$P$40</c:f>
              <c:numCache>
                <c:formatCode>General</c:formatCode>
                <c:ptCount val="4"/>
                <c:pt idx="0">
                  <c:v>1.8148468000000001E-2</c:v>
                </c:pt>
                <c:pt idx="1">
                  <c:v>4.5955953999999993E-2</c:v>
                </c:pt>
                <c:pt idx="2">
                  <c:v>0.11392364299999999</c:v>
                </c:pt>
                <c:pt idx="3">
                  <c:v>0.179319178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C5-4688-ACF7-7C963201E1B9}"/>
            </c:ext>
          </c:extLst>
        </c:ser>
        <c:ser>
          <c:idx val="15"/>
          <c:order val="7"/>
          <c:tx>
            <c:strRef>
              <c:f>'Results vs speed'!$Q$3</c:f>
              <c:strCache>
                <c:ptCount val="1"/>
                <c:pt idx="0">
                  <c:v>V1, 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speed'!$L$41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speed'!$P$41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C5-4688-ACF7-7C963201E1B9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speed'!$P$42:$P$47</c:f>
              <c:numCache>
                <c:formatCode>General</c:formatCode>
                <c:ptCount val="6"/>
                <c:pt idx="0">
                  <c:v>0.202492282</c:v>
                </c:pt>
                <c:pt idx="1">
                  <c:v>0.80362217400000002</c:v>
                </c:pt>
                <c:pt idx="2">
                  <c:v>2.0535953080000002</c:v>
                </c:pt>
                <c:pt idx="3">
                  <c:v>3.5476519550000001</c:v>
                </c:pt>
                <c:pt idx="4">
                  <c:v>3.344877672</c:v>
                </c:pt>
                <c:pt idx="5">
                  <c:v>2.9793587339999998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C5-4688-ACF7-7C963201E1B9}"/>
            </c:ext>
          </c:extLst>
        </c:ser>
        <c:ser>
          <c:idx val="16"/>
          <c:order val="9"/>
          <c:tx>
            <c:strRef>
              <c:f>'Results vs speed'!$Q$5</c:f>
              <c:strCache>
                <c:ptCount val="1"/>
                <c:pt idx="0">
                  <c:v>V1, 12°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speed'!$L$48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speed'!$P$48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C5-4688-ACF7-7C963201E1B9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speed'!$P$49:$P$52</c:f>
              <c:numCache>
                <c:formatCode>General</c:formatCode>
                <c:ptCount val="4"/>
                <c:pt idx="0">
                  <c:v>0.52700580600000002</c:v>
                </c:pt>
                <c:pt idx="1">
                  <c:v>2.2809337119999999</c:v>
                </c:pt>
                <c:pt idx="2">
                  <c:v>5.3482779630000001</c:v>
                </c:pt>
                <c:pt idx="3">
                  <c:v>8.2081412100000009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8C5-4688-ACF7-7C963201E1B9}"/>
            </c:ext>
          </c:extLst>
        </c:ser>
        <c:ser>
          <c:idx val="8"/>
          <c:order val="11"/>
          <c:tx>
            <c:strRef>
              <c:f>'Results vs speed'!$Q$7</c:f>
              <c:strCache>
                <c:ptCount val="1"/>
                <c:pt idx="0">
                  <c:v>V1, 24°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'Results vs speed'!$L$53:$L$56</c:f>
              <c:numCache>
                <c:formatCode>General</c:formatCode>
                <c:ptCount val="4"/>
                <c:pt idx="0">
                  <c:v>0.40032908499999997</c:v>
                </c:pt>
                <c:pt idx="1">
                  <c:v>0.80901094500000004</c:v>
                </c:pt>
                <c:pt idx="2">
                  <c:v>1.003192364</c:v>
                </c:pt>
                <c:pt idx="3">
                  <c:v>1.194729685</c:v>
                </c:pt>
              </c:numCache>
            </c:numRef>
          </c:xVal>
          <c:yVal>
            <c:numRef>
              <c:f>'Results vs speed'!$P$53:$P$56</c:f>
              <c:numCache>
                <c:formatCode>General</c:formatCode>
                <c:ptCount val="4"/>
                <c:pt idx="0">
                  <c:v>0.92867773900000006</c:v>
                </c:pt>
                <c:pt idx="1">
                  <c:v>3.6966246500000004</c:v>
                </c:pt>
                <c:pt idx="2">
                  <c:v>5.7165379549999997</c:v>
                </c:pt>
                <c:pt idx="3">
                  <c:v>7.1846280250000003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8C5-4688-ACF7-7C963201E1B9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speed'!$P$58:$P$60</c:f>
              <c:numCache>
                <c:formatCode>General</c:formatCode>
                <c:ptCount val="3"/>
                <c:pt idx="0">
                  <c:v>7.151359999999999E-4</c:v>
                </c:pt>
                <c:pt idx="1">
                  <c:v>3.6282541000000001E-2</c:v>
                </c:pt>
                <c:pt idx="2">
                  <c:v>0.11643350400000001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8C5-4688-ACF7-7C963201E1B9}"/>
            </c:ext>
          </c:extLst>
        </c:ser>
        <c:ser>
          <c:idx val="10"/>
          <c:order val="13"/>
          <c:tx>
            <c:strRef>
              <c:f>'Results vs speed'!$R$3</c:f>
              <c:strCache>
                <c:ptCount val="1"/>
                <c:pt idx="0">
                  <c:v>V2, 4°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speed'!$L$61:$L$63</c:f>
              <c:numCache>
                <c:formatCode>General</c:formatCode>
                <c:ptCount val="3"/>
                <c:pt idx="0">
                  <c:v>0.399398115</c:v>
                </c:pt>
                <c:pt idx="1">
                  <c:v>0.80615512700000003</c:v>
                </c:pt>
                <c:pt idx="2">
                  <c:v>1.196628434</c:v>
                </c:pt>
              </c:numCache>
            </c:numRef>
          </c:xVal>
          <c:yVal>
            <c:numRef>
              <c:f>'Results vs speed'!$P$61:$P$63</c:f>
              <c:numCache>
                <c:formatCode>General</c:formatCode>
                <c:ptCount val="3"/>
                <c:pt idx="0">
                  <c:v>0.101740539</c:v>
                </c:pt>
                <c:pt idx="1">
                  <c:v>0.418914909</c:v>
                </c:pt>
                <c:pt idx="2">
                  <c:v>0.99762362900000001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8C5-4688-ACF7-7C963201E1B9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speed'!$P$64:$P$66</c:f>
              <c:numCache>
                <c:formatCode>General</c:formatCode>
                <c:ptCount val="3"/>
                <c:pt idx="0">
                  <c:v>0.23400464100000001</c:v>
                </c:pt>
                <c:pt idx="1">
                  <c:v>1.0670078889999999</c:v>
                </c:pt>
                <c:pt idx="2">
                  <c:v>2.382503238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8C5-4688-ACF7-7C963201E1B9}"/>
            </c:ext>
          </c:extLst>
        </c:ser>
        <c:ser>
          <c:idx val="13"/>
          <c:order val="15"/>
          <c:tx>
            <c:strRef>
              <c:f>'Results vs speed'!$R$5</c:f>
              <c:strCache>
                <c:ptCount val="1"/>
                <c:pt idx="0">
                  <c:v>V2, 12°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speed'!$L$67:$L$69</c:f>
              <c:numCache>
                <c:formatCode>General</c:formatCode>
                <c:ptCount val="3"/>
                <c:pt idx="0">
                  <c:v>0.39940424800000002</c:v>
                </c:pt>
                <c:pt idx="1">
                  <c:v>0.80926551300000005</c:v>
                </c:pt>
                <c:pt idx="2">
                  <c:v>1.1966545070000001</c:v>
                </c:pt>
              </c:numCache>
            </c:numRef>
          </c:xVal>
          <c:yVal>
            <c:numRef>
              <c:f>'Results vs speed'!$P$67:$P$69</c:f>
              <c:numCache>
                <c:formatCode>General</c:formatCode>
                <c:ptCount val="3"/>
                <c:pt idx="0">
                  <c:v>0.49393100000000001</c:v>
                </c:pt>
                <c:pt idx="1">
                  <c:v>1.8834446790000001</c:v>
                </c:pt>
                <c:pt idx="2">
                  <c:v>4.3945813600000001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8C5-4688-ACF7-7C963201E1B9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speed'!$P$70:$P$72</c:f>
              <c:numCache>
                <c:formatCode>General</c:formatCode>
                <c:ptCount val="3"/>
                <c:pt idx="0">
                  <c:v>0.7395220520000001</c:v>
                </c:pt>
                <c:pt idx="1">
                  <c:v>2.9859152459999998</c:v>
                </c:pt>
                <c:pt idx="2">
                  <c:v>6.4728617480000006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8C5-4688-ACF7-7C963201E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71328"/>
        <c:axId val="122959744"/>
      </c:scatterChart>
      <c:valAx>
        <c:axId val="122771328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22959744"/>
        <c:crosses val="autoZero"/>
        <c:crossBetween val="midCat"/>
        <c:majorUnit val="0.2"/>
      </c:valAx>
      <c:valAx>
        <c:axId val="122959744"/>
        <c:scaling>
          <c:orientation val="minMax"/>
          <c:max val="10"/>
          <c:min val="-2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 i="1"/>
                  <a:t>F</a:t>
                </a:r>
                <a:r>
                  <a:rPr lang="en-US" b="0" i="1" baseline="-25000"/>
                  <a:t>L</a:t>
                </a:r>
                <a:r>
                  <a:rPr lang="en-US" b="0"/>
                  <a:t>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71328"/>
        <c:crosses val="autoZero"/>
        <c:crossBetween val="midCat"/>
        <c:majorUnit val="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285467427980655"/>
          <c:y val="0.76000136258595374"/>
          <c:w val="0.63780579800536497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speed'!$W$15:$W$19</c:f>
              <c:numCache>
                <c:formatCode>General</c:formatCode>
                <c:ptCount val="5"/>
                <c:pt idx="0">
                  <c:v>2.1164224042161798E-3</c:v>
                </c:pt>
                <c:pt idx="1">
                  <c:v>2.5542945502587341E-2</c:v>
                </c:pt>
                <c:pt idx="2">
                  <c:v>3.2671573298939015E-2</c:v>
                </c:pt>
                <c:pt idx="3">
                  <c:v>4.6323059659512451E-2</c:v>
                </c:pt>
                <c:pt idx="4">
                  <c:v>3.9528465429481165E-2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E-4015-9A6B-5BCCC1F5FF01}"/>
            </c:ext>
          </c:extLst>
        </c:ser>
        <c:ser>
          <c:idx val="1"/>
          <c:order val="1"/>
          <c:tx>
            <c:strRef>
              <c:f>'Results vs speed'!$P$3</c:f>
              <c:strCache>
                <c:ptCount val="1"/>
                <c:pt idx="0">
                  <c:v>U, 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speed'!$L$20:$L$23</c:f>
              <c:numCache>
                <c:formatCode>General</c:formatCode>
                <c:ptCount val="4"/>
                <c:pt idx="0">
                  <c:v>0.40036896100000002</c:v>
                </c:pt>
                <c:pt idx="1">
                  <c:v>0.80652782099999998</c:v>
                </c:pt>
                <c:pt idx="2">
                  <c:v>1.1985547809999999</c:v>
                </c:pt>
                <c:pt idx="3">
                  <c:v>1.605772797</c:v>
                </c:pt>
              </c:numCache>
            </c:numRef>
          </c:xVal>
          <c:yVal>
            <c:numRef>
              <c:f>'Results vs speed'!$W$20:$W$23</c:f>
              <c:numCache>
                <c:formatCode>General</c:formatCode>
                <c:ptCount val="4"/>
                <c:pt idx="0">
                  <c:v>1.5256796379051557E-2</c:v>
                </c:pt>
                <c:pt idx="1">
                  <c:v>3.4445146801508147E-2</c:v>
                </c:pt>
                <c:pt idx="2">
                  <c:v>4.9563757405727639E-2</c:v>
                </c:pt>
                <c:pt idx="3">
                  <c:v>4.248894547139271E-2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4E-4015-9A6B-5BCCC1F5FF01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speed'!$L$25:$L$28</c:f>
              <c:numCache>
                <c:formatCode>General</c:formatCode>
                <c:ptCount val="4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  <c:pt idx="3">
                  <c:v>1.1942638269999999</c:v>
                </c:pt>
              </c:numCache>
            </c:numRef>
          </c:xVal>
          <c:yVal>
            <c:numRef>
              <c:f>'Results vs speed'!$W$25:$W$28</c:f>
              <c:numCache>
                <c:formatCode>General</c:formatCode>
                <c:ptCount val="4"/>
                <c:pt idx="0">
                  <c:v>5.7615968971863316E-2</c:v>
                </c:pt>
                <c:pt idx="1">
                  <c:v>3.7766283633550071E-2</c:v>
                </c:pt>
                <c:pt idx="2">
                  <c:v>5.2473225116269423E-2</c:v>
                </c:pt>
                <c:pt idx="3">
                  <c:v>3.967177639660225E-2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4E-4015-9A6B-5BCCC1F5FF01}"/>
            </c:ext>
          </c:extLst>
        </c:ser>
        <c:ser>
          <c:idx val="14"/>
          <c:order val="3"/>
          <c:tx>
            <c:strRef>
              <c:f>'Results vs speed'!$P$5</c:f>
              <c:strCache>
                <c:ptCount val="1"/>
                <c:pt idx="0">
                  <c:v>U, 12°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speed'!$L$29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speed'!$W$29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4E-4015-9A6B-5BCCC1F5FF01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speed'!$W$30:$W$32</c:f>
              <c:numCache>
                <c:formatCode>General</c:formatCode>
                <c:ptCount val="3"/>
                <c:pt idx="0">
                  <c:v>3.0681148310158401E-2</c:v>
                </c:pt>
                <c:pt idx="1">
                  <c:v>3.0574145360764287E-2</c:v>
                </c:pt>
                <c:pt idx="2">
                  <c:v>5.7439074858321421E-2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4E-4015-9A6B-5BCCC1F5FF01}"/>
            </c:ext>
          </c:extLst>
        </c:ser>
        <c:ser>
          <c:idx val="4"/>
          <c:order val="5"/>
          <c:tx>
            <c:strRef>
              <c:f>'Results vs speed'!$P$7</c:f>
              <c:strCache>
                <c:ptCount val="1"/>
                <c:pt idx="0">
                  <c:v>U, 24°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'Results vs speed'!$L$33:$L$35</c:f>
              <c:numCache>
                <c:formatCode>General</c:formatCode>
                <c:ptCount val="3"/>
                <c:pt idx="0">
                  <c:v>0.40077541500000002</c:v>
                </c:pt>
                <c:pt idx="1">
                  <c:v>0.80715357399999998</c:v>
                </c:pt>
                <c:pt idx="2">
                  <c:v>1.196083969</c:v>
                </c:pt>
              </c:numCache>
            </c:numRef>
          </c:xVal>
          <c:yVal>
            <c:numRef>
              <c:f>'Results vs speed'!$W$33:$W$35</c:f>
              <c:numCache>
                <c:formatCode>General</c:formatCode>
                <c:ptCount val="3"/>
                <c:pt idx="0">
                  <c:v>7.8291263049068457E-2</c:v>
                </c:pt>
                <c:pt idx="1">
                  <c:v>6.5443211307168042E-2</c:v>
                </c:pt>
                <c:pt idx="2">
                  <c:v>8.0531202773615113E-2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4E-4015-9A6B-5BCCC1F5FF01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speed'!$W$37:$W$40</c:f>
              <c:numCache>
                <c:formatCode>General</c:formatCode>
                <c:ptCount val="4"/>
                <c:pt idx="0">
                  <c:v>7.1515402487930362E-3</c:v>
                </c:pt>
                <c:pt idx="1">
                  <c:v>2.718866649002943E-2</c:v>
                </c:pt>
                <c:pt idx="2">
                  <c:v>2.3613930823061697E-2</c:v>
                </c:pt>
                <c:pt idx="3">
                  <c:v>1.9684552264690788E-2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4E-4015-9A6B-5BCCC1F5FF01}"/>
            </c:ext>
          </c:extLst>
        </c:ser>
        <c:ser>
          <c:idx val="15"/>
          <c:order val="7"/>
          <c:tx>
            <c:strRef>
              <c:f>'Results vs speed'!$Q$3</c:f>
              <c:strCache>
                <c:ptCount val="1"/>
                <c:pt idx="0">
                  <c:v>V1, 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speed'!$L$41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speed'!$W$41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4E-4015-9A6B-5BCCC1F5FF01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speed'!$W$42:$W$47</c:f>
              <c:numCache>
                <c:formatCode>General</c:formatCode>
                <c:ptCount val="6"/>
                <c:pt idx="0">
                  <c:v>1.6044403235122417E-2</c:v>
                </c:pt>
                <c:pt idx="1">
                  <c:v>3.3196330690607713E-2</c:v>
                </c:pt>
                <c:pt idx="2">
                  <c:v>2.7110735857634509E-2</c:v>
                </c:pt>
                <c:pt idx="3">
                  <c:v>2.6750233809232239E-2</c:v>
                </c:pt>
                <c:pt idx="4">
                  <c:v>2.8772989868690917E-2</c:v>
                </c:pt>
                <c:pt idx="5">
                  <c:v>2.6094081613614636E-2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4E-4015-9A6B-5BCCC1F5FF01}"/>
            </c:ext>
          </c:extLst>
        </c:ser>
        <c:ser>
          <c:idx val="16"/>
          <c:order val="9"/>
          <c:tx>
            <c:strRef>
              <c:f>'Results vs speed'!$Q$5</c:f>
              <c:strCache>
                <c:ptCount val="1"/>
                <c:pt idx="0">
                  <c:v>V1, 12°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speed'!$L$48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speed'!$W$48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F4E-4015-9A6B-5BCCC1F5FF01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speed'!$W$49:$W$52</c:f>
              <c:numCache>
                <c:formatCode>General</c:formatCode>
                <c:ptCount val="4"/>
                <c:pt idx="0">
                  <c:v>4.4242162903788206E-2</c:v>
                </c:pt>
                <c:pt idx="1">
                  <c:v>5.7921153700757039E-2</c:v>
                </c:pt>
                <c:pt idx="2">
                  <c:v>5.9160244858655661E-2</c:v>
                </c:pt>
                <c:pt idx="3">
                  <c:v>5.6265355989392668E-2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4E-4015-9A6B-5BCCC1F5FF01}"/>
            </c:ext>
          </c:extLst>
        </c:ser>
        <c:ser>
          <c:idx val="8"/>
          <c:order val="11"/>
          <c:tx>
            <c:strRef>
              <c:f>'Results vs speed'!$Q$7</c:f>
              <c:strCache>
                <c:ptCount val="1"/>
                <c:pt idx="0">
                  <c:v>V1, 24°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'Results vs speed'!$L$53:$L$56</c:f>
              <c:numCache>
                <c:formatCode>General</c:formatCode>
                <c:ptCount val="4"/>
                <c:pt idx="0">
                  <c:v>0.40032908499999997</c:v>
                </c:pt>
                <c:pt idx="1">
                  <c:v>0.80901094500000004</c:v>
                </c:pt>
                <c:pt idx="2">
                  <c:v>1.003192364</c:v>
                </c:pt>
                <c:pt idx="3">
                  <c:v>1.194729685</c:v>
                </c:pt>
              </c:numCache>
            </c:numRef>
          </c:xVal>
          <c:yVal>
            <c:numRef>
              <c:f>'Results vs speed'!$W$53:$W$56</c:f>
              <c:numCache>
                <c:formatCode>General</c:formatCode>
                <c:ptCount val="4"/>
                <c:pt idx="0">
                  <c:v>0.11945614529213117</c:v>
                </c:pt>
                <c:pt idx="1">
                  <c:v>0.11748173110179608</c:v>
                </c:pt>
                <c:pt idx="2">
                  <c:v>0.12337831735230335</c:v>
                </c:pt>
                <c:pt idx="3">
                  <c:v>0.11299519359940341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4E-4015-9A6B-5BCCC1F5FF01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speed'!$W$58:$W$60</c:f>
              <c:numCache>
                <c:formatCode>General</c:formatCode>
                <c:ptCount val="3"/>
                <c:pt idx="0">
                  <c:v>8.4457846231607084E-3</c:v>
                </c:pt>
                <c:pt idx="1">
                  <c:v>9.4520207090839931E-3</c:v>
                </c:pt>
                <c:pt idx="2">
                  <c:v>1.5672113664844924E-2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4E-4015-9A6B-5BCCC1F5FF01}"/>
            </c:ext>
          </c:extLst>
        </c:ser>
        <c:ser>
          <c:idx val="10"/>
          <c:order val="13"/>
          <c:tx>
            <c:strRef>
              <c:f>'Results vs speed'!$R$3</c:f>
              <c:strCache>
                <c:ptCount val="1"/>
                <c:pt idx="0">
                  <c:v>V2, 4°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speed'!$L$61:$L$63</c:f>
              <c:numCache>
                <c:formatCode>General</c:formatCode>
                <c:ptCount val="3"/>
                <c:pt idx="0">
                  <c:v>0.399398115</c:v>
                </c:pt>
                <c:pt idx="1">
                  <c:v>0.80615512700000003</c:v>
                </c:pt>
                <c:pt idx="2">
                  <c:v>1.196628434</c:v>
                </c:pt>
              </c:numCache>
            </c:numRef>
          </c:xVal>
          <c:yVal>
            <c:numRef>
              <c:f>'Results vs speed'!$W$61:$W$63</c:f>
              <c:numCache>
                <c:formatCode>General</c:formatCode>
                <c:ptCount val="3"/>
                <c:pt idx="0">
                  <c:v>5.8971935944810107E-3</c:v>
                </c:pt>
                <c:pt idx="1">
                  <c:v>1.7102720420880384E-2</c:v>
                </c:pt>
                <c:pt idx="2">
                  <c:v>1.5955496248746145E-2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F4E-4015-9A6B-5BCCC1F5FF01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speed'!$W$64:$W$66</c:f>
              <c:numCache>
                <c:formatCode>General</c:formatCode>
                <c:ptCount val="3"/>
                <c:pt idx="0">
                  <c:v>3.5045276993580336E-2</c:v>
                </c:pt>
                <c:pt idx="1">
                  <c:v>1.4242946469015361E-2</c:v>
                </c:pt>
                <c:pt idx="2">
                  <c:v>2.2646352566006406E-2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F4E-4015-9A6B-5BCCC1F5FF01}"/>
            </c:ext>
          </c:extLst>
        </c:ser>
        <c:ser>
          <c:idx val="13"/>
          <c:order val="15"/>
          <c:tx>
            <c:strRef>
              <c:f>'Results vs speed'!$R$5</c:f>
              <c:strCache>
                <c:ptCount val="1"/>
                <c:pt idx="0">
                  <c:v>V2, 12°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speed'!$L$67:$L$69</c:f>
              <c:numCache>
                <c:formatCode>General</c:formatCode>
                <c:ptCount val="3"/>
                <c:pt idx="0">
                  <c:v>0.39940424800000002</c:v>
                </c:pt>
                <c:pt idx="1">
                  <c:v>0.80926551300000005</c:v>
                </c:pt>
                <c:pt idx="2">
                  <c:v>1.1966545070000001</c:v>
                </c:pt>
              </c:numCache>
            </c:numRef>
          </c:xVal>
          <c:yVal>
            <c:numRef>
              <c:f>'Results vs speed'!$W$67:$W$69</c:f>
              <c:numCache>
                <c:formatCode>General</c:formatCode>
                <c:ptCount val="3"/>
                <c:pt idx="0">
                  <c:v>2.3937308800600323E-2</c:v>
                </c:pt>
                <c:pt idx="1">
                  <c:v>4.3129567944566648E-2</c:v>
                </c:pt>
                <c:pt idx="2">
                  <c:v>3.5325279014754601E-2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F4E-4015-9A6B-5BCCC1F5FF01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speed'!$W$70:$W$72</c:f>
              <c:numCache>
                <c:formatCode>General</c:formatCode>
                <c:ptCount val="3"/>
                <c:pt idx="0">
                  <c:v>6.2368518272968056E-2</c:v>
                </c:pt>
                <c:pt idx="1">
                  <c:v>5.8736401763915161E-2</c:v>
                </c:pt>
                <c:pt idx="2">
                  <c:v>5.8453979969504459E-2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F4E-4015-9A6B-5BCCC1F5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1040"/>
        <c:axId val="125948288"/>
      </c:scatterChart>
      <c:valAx>
        <c:axId val="125831040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25948288"/>
        <c:crosses val="autoZero"/>
        <c:crossBetween val="midCat"/>
        <c:majorUnit val="0.2"/>
      </c:valAx>
      <c:valAx>
        <c:axId val="125948288"/>
        <c:scaling>
          <c:orientation val="minMax"/>
          <c:max val="0.2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 i="1"/>
                  <a:t>C</a:t>
                </a:r>
                <a:r>
                  <a:rPr lang="en-US" b="0" i="1" baseline="-25000"/>
                  <a:t>D</a:t>
                </a:r>
                <a:r>
                  <a:rPr lang="en-US" b="0"/>
                  <a:t>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31040"/>
        <c:crosses val="autoZero"/>
        <c:crossBetween val="midCat"/>
        <c:majorUnit val="0.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887477077636569"/>
          <c:y val="0.75506468284720885"/>
          <c:w val="0.63361182695433282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speed'!$X$15:$X$19</c:f>
              <c:numCache>
                <c:formatCode>General</c:formatCode>
                <c:ptCount val="5"/>
                <c:pt idx="0">
                  <c:v>1.3187118231978726E-2</c:v>
                </c:pt>
                <c:pt idx="1">
                  <c:v>-6.9860001683000311E-3</c:v>
                </c:pt>
                <c:pt idx="2">
                  <c:v>-2.1752992357932772E-3</c:v>
                </c:pt>
                <c:pt idx="3">
                  <c:v>-5.4439733543478787E-3</c:v>
                </c:pt>
                <c:pt idx="4">
                  <c:v>-5.2838325625814038E-3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8-4E9A-BCC8-98498CCD130B}"/>
            </c:ext>
          </c:extLst>
        </c:ser>
        <c:ser>
          <c:idx val="1"/>
          <c:order val="1"/>
          <c:tx>
            <c:strRef>
              <c:f>'Results vs speed'!$P$3</c:f>
              <c:strCache>
                <c:ptCount val="1"/>
                <c:pt idx="0">
                  <c:v>U, 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speed'!$L$20:$L$23</c:f>
              <c:numCache>
                <c:formatCode>General</c:formatCode>
                <c:ptCount val="4"/>
                <c:pt idx="0">
                  <c:v>0.40036896100000002</c:v>
                </c:pt>
                <c:pt idx="1">
                  <c:v>0.80652782099999998</c:v>
                </c:pt>
                <c:pt idx="2">
                  <c:v>1.1985547809999999</c:v>
                </c:pt>
                <c:pt idx="3">
                  <c:v>1.605772797</c:v>
                </c:pt>
              </c:numCache>
            </c:numRef>
          </c:xVal>
          <c:yVal>
            <c:numRef>
              <c:f>'Results vs speed'!$X$20:$X$23</c:f>
              <c:numCache>
                <c:formatCode>General</c:formatCode>
                <c:ptCount val="4"/>
                <c:pt idx="0">
                  <c:v>9.0738803014292716E-3</c:v>
                </c:pt>
                <c:pt idx="1">
                  <c:v>3.6066206277473745E-3</c:v>
                </c:pt>
                <c:pt idx="2">
                  <c:v>6.9397662167686629E-3</c:v>
                </c:pt>
                <c:pt idx="3">
                  <c:v>1.1149424111624055E-2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68-4E9A-BCC8-98498CCD130B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speed'!$L$25:$L$28</c:f>
              <c:numCache>
                <c:formatCode>General</c:formatCode>
                <c:ptCount val="4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  <c:pt idx="3">
                  <c:v>1.1942638269999999</c:v>
                </c:pt>
              </c:numCache>
            </c:numRef>
          </c:xVal>
          <c:yVal>
            <c:numRef>
              <c:f>'Results vs speed'!$X$25:$X$28</c:f>
              <c:numCache>
                <c:formatCode>General</c:formatCode>
                <c:ptCount val="4"/>
                <c:pt idx="0">
                  <c:v>1.1326923445855199E-2</c:v>
                </c:pt>
                <c:pt idx="1">
                  <c:v>1.3678603489184316E-2</c:v>
                </c:pt>
                <c:pt idx="2">
                  <c:v>2.7911536073602389E-2</c:v>
                </c:pt>
                <c:pt idx="3">
                  <c:v>2.3854167808894673E-2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68-4E9A-BCC8-98498CCD130B}"/>
            </c:ext>
          </c:extLst>
        </c:ser>
        <c:ser>
          <c:idx val="14"/>
          <c:order val="3"/>
          <c:tx>
            <c:strRef>
              <c:f>'Results vs speed'!$P$5</c:f>
              <c:strCache>
                <c:ptCount val="1"/>
                <c:pt idx="0">
                  <c:v>U, 12°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speed'!$L$29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speed'!$X$29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68-4E9A-BCC8-98498CCD130B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speed'!$X$30:$X$32</c:f>
              <c:numCache>
                <c:formatCode>General</c:formatCode>
                <c:ptCount val="3"/>
                <c:pt idx="0">
                  <c:v>7.626204485753163E-2</c:v>
                </c:pt>
                <c:pt idx="1">
                  <c:v>4.6596005015195278E-2</c:v>
                </c:pt>
                <c:pt idx="2">
                  <c:v>5.9826307108193436E-2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68-4E9A-BCC8-98498CCD130B}"/>
            </c:ext>
          </c:extLst>
        </c:ser>
        <c:ser>
          <c:idx val="4"/>
          <c:order val="5"/>
          <c:tx>
            <c:strRef>
              <c:f>'Results vs speed'!$P$7</c:f>
              <c:strCache>
                <c:ptCount val="1"/>
                <c:pt idx="0">
                  <c:v>U, 24°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'Results vs speed'!$L$33:$L$35</c:f>
              <c:numCache>
                <c:formatCode>General</c:formatCode>
                <c:ptCount val="3"/>
                <c:pt idx="0">
                  <c:v>0.40077541500000002</c:v>
                </c:pt>
                <c:pt idx="1">
                  <c:v>0.80715357399999998</c:v>
                </c:pt>
                <c:pt idx="2">
                  <c:v>1.196083969</c:v>
                </c:pt>
              </c:numCache>
            </c:numRef>
          </c:xVal>
          <c:yVal>
            <c:numRef>
              <c:f>'Results vs speed'!$X$33:$X$35</c:f>
              <c:numCache>
                <c:formatCode>General</c:formatCode>
                <c:ptCount val="3"/>
                <c:pt idx="0">
                  <c:v>0.14316280456583105</c:v>
                </c:pt>
                <c:pt idx="1">
                  <c:v>8.0165717722167726E-2</c:v>
                </c:pt>
                <c:pt idx="2">
                  <c:v>9.2804331317701022E-2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68-4E9A-BCC8-98498CCD130B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speed'!$X$37:$X$40</c:f>
              <c:numCache>
                <c:formatCode>General</c:formatCode>
                <c:ptCount val="4"/>
                <c:pt idx="0">
                  <c:v>4.6696617770944221E-3</c:v>
                </c:pt>
                <c:pt idx="1">
                  <c:v>2.88772703999295E-3</c:v>
                </c:pt>
                <c:pt idx="2">
                  <c:v>3.2621056188216818E-3</c:v>
                </c:pt>
                <c:pt idx="3">
                  <c:v>2.8469570158263474E-3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68-4E9A-BCC8-98498CCD130B}"/>
            </c:ext>
          </c:extLst>
        </c:ser>
        <c:ser>
          <c:idx val="15"/>
          <c:order val="7"/>
          <c:tx>
            <c:strRef>
              <c:f>'Results vs speed'!$Q$3</c:f>
              <c:strCache>
                <c:ptCount val="1"/>
                <c:pt idx="0">
                  <c:v>V1, 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speed'!$L$41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speed'!$X$41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68-4E9A-BCC8-98498CCD130B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speed'!$X$42:$X$47</c:f>
              <c:numCache>
                <c:formatCode>General</c:formatCode>
                <c:ptCount val="6"/>
                <c:pt idx="0">
                  <c:v>5.1783054830558131E-2</c:v>
                </c:pt>
                <c:pt idx="1">
                  <c:v>5.0239335005138268E-2</c:v>
                </c:pt>
                <c:pt idx="2">
                  <c:v>5.8516022266601381E-2</c:v>
                </c:pt>
                <c:pt idx="3">
                  <c:v>5.6397031501872801E-2</c:v>
                </c:pt>
                <c:pt idx="4">
                  <c:v>5.3309999201058153E-2</c:v>
                </c:pt>
                <c:pt idx="5">
                  <c:v>4.7485198923469543E-2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268-4E9A-BCC8-98498CCD130B}"/>
            </c:ext>
          </c:extLst>
        </c:ser>
        <c:ser>
          <c:idx val="16"/>
          <c:order val="9"/>
          <c:tx>
            <c:strRef>
              <c:f>'Results vs speed'!$Q$5</c:f>
              <c:strCache>
                <c:ptCount val="1"/>
                <c:pt idx="0">
                  <c:v>V1, 12°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speed'!$L$48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speed'!$X$48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268-4E9A-BCC8-98498CCD130B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speed'!$X$49:$X$52</c:f>
              <c:numCache>
                <c:formatCode>General</c:formatCode>
                <c:ptCount val="4"/>
                <c:pt idx="0">
                  <c:v>0.13470229892326852</c:v>
                </c:pt>
                <c:pt idx="1">
                  <c:v>0.14241376319514101</c:v>
                </c:pt>
                <c:pt idx="2">
                  <c:v>0.15275457102659054</c:v>
                </c:pt>
                <c:pt idx="3">
                  <c:v>0.13045202438713663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268-4E9A-BCC8-98498CCD130B}"/>
            </c:ext>
          </c:extLst>
        </c:ser>
        <c:ser>
          <c:idx val="8"/>
          <c:order val="11"/>
          <c:tx>
            <c:strRef>
              <c:f>'Results vs speed'!$Q$7</c:f>
              <c:strCache>
                <c:ptCount val="1"/>
                <c:pt idx="0">
                  <c:v>V1, 24°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'Results vs speed'!$L$53:$L$56</c:f>
              <c:numCache>
                <c:formatCode>General</c:formatCode>
                <c:ptCount val="4"/>
                <c:pt idx="0">
                  <c:v>0.40032908499999997</c:v>
                </c:pt>
                <c:pt idx="1">
                  <c:v>0.80901094500000004</c:v>
                </c:pt>
                <c:pt idx="2">
                  <c:v>1.003192364</c:v>
                </c:pt>
                <c:pt idx="3">
                  <c:v>1.194729685</c:v>
                </c:pt>
              </c:numCache>
            </c:numRef>
          </c:xVal>
          <c:yVal>
            <c:numRef>
              <c:f>'Results vs speed'!$X$53:$X$56</c:f>
              <c:numCache>
                <c:formatCode>General</c:formatCode>
                <c:ptCount val="4"/>
                <c:pt idx="0">
                  <c:v>0.23748759044768647</c:v>
                </c:pt>
                <c:pt idx="1">
                  <c:v>0.23147640802429389</c:v>
                </c:pt>
                <c:pt idx="2">
                  <c:v>0.23279563315669768</c:v>
                </c:pt>
                <c:pt idx="3">
                  <c:v>0.20628856391085273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268-4E9A-BCC8-98498CCD130B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speed'!$X$58:$X$60</c:f>
              <c:numCache>
                <c:formatCode>General</c:formatCode>
                <c:ptCount val="3"/>
                <c:pt idx="0">
                  <c:v>1.8275323651932839E-4</c:v>
                </c:pt>
                <c:pt idx="1">
                  <c:v>2.2729513777060011E-3</c:v>
                </c:pt>
                <c:pt idx="2">
                  <c:v>3.3332468871797526E-3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268-4E9A-BCC8-98498CCD130B}"/>
            </c:ext>
          </c:extLst>
        </c:ser>
        <c:ser>
          <c:idx val="10"/>
          <c:order val="13"/>
          <c:tx>
            <c:strRef>
              <c:f>'Results vs speed'!$R$3</c:f>
              <c:strCache>
                <c:ptCount val="1"/>
                <c:pt idx="0">
                  <c:v>V2, 4°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speed'!$L$61:$L$63</c:f>
              <c:numCache>
                <c:formatCode>General</c:formatCode>
                <c:ptCount val="3"/>
                <c:pt idx="0">
                  <c:v>0.399398115</c:v>
                </c:pt>
                <c:pt idx="1">
                  <c:v>0.80615512700000003</c:v>
                </c:pt>
                <c:pt idx="2">
                  <c:v>1.196628434</c:v>
                </c:pt>
              </c:numCache>
            </c:numRef>
          </c:xVal>
          <c:yVal>
            <c:numRef>
              <c:f>'Results vs speed'!$X$61:$X$63</c:f>
              <c:numCache>
                <c:formatCode>General</c:formatCode>
                <c:ptCount val="3"/>
                <c:pt idx="0">
                  <c:v>2.613919364271591E-2</c:v>
                </c:pt>
                <c:pt idx="1">
                  <c:v>2.6417927860994436E-2</c:v>
                </c:pt>
                <c:pt idx="2">
                  <c:v>2.8553428589609315E-2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268-4E9A-BCC8-98498CCD130B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speed'!$X$64:$X$66</c:f>
              <c:numCache>
                <c:formatCode>General</c:formatCode>
                <c:ptCount val="3"/>
                <c:pt idx="0">
                  <c:v>6.0097421392089782E-2</c:v>
                </c:pt>
                <c:pt idx="1">
                  <c:v>6.6749937952498492E-2</c:v>
                </c:pt>
                <c:pt idx="2">
                  <c:v>6.8511169121810517E-2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268-4E9A-BCC8-98498CCD130B}"/>
            </c:ext>
          </c:extLst>
        </c:ser>
        <c:ser>
          <c:idx val="13"/>
          <c:order val="15"/>
          <c:tx>
            <c:strRef>
              <c:f>'Results vs speed'!$R$5</c:f>
              <c:strCache>
                <c:ptCount val="1"/>
                <c:pt idx="0">
                  <c:v>V2, 12°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speed'!$L$67:$L$69</c:f>
              <c:numCache>
                <c:formatCode>General</c:formatCode>
                <c:ptCount val="3"/>
                <c:pt idx="0">
                  <c:v>0.39940424800000002</c:v>
                </c:pt>
                <c:pt idx="1">
                  <c:v>0.80926551300000005</c:v>
                </c:pt>
                <c:pt idx="2">
                  <c:v>1.1966545070000001</c:v>
                </c:pt>
              </c:numCache>
            </c:numRef>
          </c:xVal>
          <c:yVal>
            <c:numRef>
              <c:f>'Results vs speed'!$X$67:$X$69</c:f>
              <c:numCache>
                <c:formatCode>General</c:formatCode>
                <c:ptCount val="3"/>
                <c:pt idx="0">
                  <c:v>0.12689692506060996</c:v>
                </c:pt>
                <c:pt idx="1">
                  <c:v>0.11786394567997723</c:v>
                </c:pt>
                <c:pt idx="2">
                  <c:v>0.12577378227878336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268-4E9A-BCC8-98498CCD130B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speed'!$X$70:$X$72</c:f>
              <c:numCache>
                <c:formatCode>General</c:formatCode>
                <c:ptCount val="3"/>
                <c:pt idx="0">
                  <c:v>0.18866557796753755</c:v>
                </c:pt>
                <c:pt idx="1">
                  <c:v>0.18730164972647309</c:v>
                </c:pt>
                <c:pt idx="2">
                  <c:v>0.1852066223486257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268-4E9A-BCC8-98498CCD1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41472"/>
        <c:axId val="107693184"/>
      </c:scatterChart>
      <c:valAx>
        <c:axId val="107641472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07693184"/>
        <c:crosses val="autoZero"/>
        <c:crossBetween val="midCat"/>
        <c:majorUnit val="0.2"/>
      </c:valAx>
      <c:valAx>
        <c:axId val="107693184"/>
        <c:scaling>
          <c:orientation val="minMax"/>
          <c:max val="0.30000000000000004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641472"/>
        <c:crosses val="autoZero"/>
        <c:crossBetween val="midCat"/>
        <c:majorUnit val="0.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984462603152698"/>
          <c:y val="0.75552399331706566"/>
          <c:w val="0.63361182695433282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speed'!$Y$15:$Y$19</c:f>
              <c:numCache>
                <c:formatCode>General</c:formatCode>
                <c:ptCount val="5"/>
                <c:pt idx="0">
                  <c:v>2.1164224042161798E-3</c:v>
                </c:pt>
                <c:pt idx="1">
                  <c:v>2.5542945502587341E-2</c:v>
                </c:pt>
                <c:pt idx="2">
                  <c:v>3.2671573298939015E-2</c:v>
                </c:pt>
                <c:pt idx="3">
                  <c:v>4.6323059659512451E-2</c:v>
                </c:pt>
                <c:pt idx="4">
                  <c:v>3.9528465429481165E-2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2-4543-9FD5-017DC4952997}"/>
            </c:ext>
          </c:extLst>
        </c:ser>
        <c:ser>
          <c:idx val="1"/>
          <c:order val="1"/>
          <c:tx>
            <c:strRef>
              <c:f>'Results vs speed'!$P$3</c:f>
              <c:strCache>
                <c:ptCount val="1"/>
                <c:pt idx="0">
                  <c:v>U, 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speed'!$L$20:$L$23</c:f>
              <c:numCache>
                <c:formatCode>General</c:formatCode>
                <c:ptCount val="4"/>
                <c:pt idx="0">
                  <c:v>0.40036896100000002</c:v>
                </c:pt>
                <c:pt idx="1">
                  <c:v>0.80652782099999998</c:v>
                </c:pt>
                <c:pt idx="2">
                  <c:v>1.1985547809999999</c:v>
                </c:pt>
                <c:pt idx="3">
                  <c:v>1.605772797</c:v>
                </c:pt>
              </c:numCache>
            </c:numRef>
          </c:xVal>
          <c:yVal>
            <c:numRef>
              <c:f>'Results vs speed'!$Y$20:$Y$23</c:f>
              <c:numCache>
                <c:formatCode>General</c:formatCode>
                <c:ptCount val="4"/>
                <c:pt idx="0">
                  <c:v>1.4586669696872105E-2</c:v>
                </c:pt>
                <c:pt idx="1">
                  <c:v>3.4109655017982216E-2</c:v>
                </c:pt>
                <c:pt idx="2">
                  <c:v>4.8958928963862627E-2</c:v>
                </c:pt>
                <c:pt idx="3">
                  <c:v>4.1607700025406702E-2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B2-4543-9FD5-017DC4952997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speed'!$L$25:$L$28</c:f>
              <c:numCache>
                <c:formatCode>General</c:formatCode>
                <c:ptCount val="4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  <c:pt idx="3">
                  <c:v>1.1942638269999999</c:v>
                </c:pt>
              </c:numCache>
            </c:numRef>
          </c:xVal>
          <c:yVal>
            <c:numRef>
              <c:f>'Results vs speed'!$Y$25:$Y$28</c:f>
              <c:numCache>
                <c:formatCode>General</c:formatCode>
                <c:ptCount val="4"/>
                <c:pt idx="0">
                  <c:v>5.5478851262144392E-2</c:v>
                </c:pt>
                <c:pt idx="1">
                  <c:v>3.5495051092949058E-2</c:v>
                </c:pt>
                <c:pt idx="2">
                  <c:v>4.8078024268607814E-2</c:v>
                </c:pt>
                <c:pt idx="3">
                  <c:v>3.5965834891025082E-2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B2-4543-9FD5-017DC4952997}"/>
            </c:ext>
          </c:extLst>
        </c:ser>
        <c:ser>
          <c:idx val="14"/>
          <c:order val="3"/>
          <c:tx>
            <c:strRef>
              <c:f>'Results vs speed'!$P$5</c:f>
              <c:strCache>
                <c:ptCount val="1"/>
                <c:pt idx="0">
                  <c:v>U, 12°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speed'!$L$29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speed'!$Y$29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B2-4543-9FD5-017DC4952997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speed'!$Y$30:$Y$32</c:f>
              <c:numCache>
                <c:formatCode>General</c:formatCode>
                <c:ptCount val="3"/>
                <c:pt idx="0">
                  <c:v>8.471944264230551E-3</c:v>
                </c:pt>
                <c:pt idx="1">
                  <c:v>1.6546155207328904E-2</c:v>
                </c:pt>
                <c:pt idx="2">
                  <c:v>3.8723617411839918E-2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B2-4543-9FD5-017DC4952997}"/>
            </c:ext>
          </c:extLst>
        </c:ser>
        <c:ser>
          <c:idx val="4"/>
          <c:order val="5"/>
          <c:tx>
            <c:strRef>
              <c:f>'Results vs speed'!$P$7</c:f>
              <c:strCache>
                <c:ptCount val="1"/>
                <c:pt idx="0">
                  <c:v>U, 24°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'Results vs speed'!$L$33:$L$35</c:f>
              <c:numCache>
                <c:formatCode>General</c:formatCode>
                <c:ptCount val="3"/>
                <c:pt idx="0">
                  <c:v>0.40077541500000002</c:v>
                </c:pt>
                <c:pt idx="1">
                  <c:v>0.80715357399999998</c:v>
                </c:pt>
                <c:pt idx="2">
                  <c:v>1.196083969</c:v>
                </c:pt>
              </c:numCache>
            </c:numRef>
          </c:xVal>
          <c:yVal>
            <c:numRef>
              <c:f>'Results vs speed'!$Y$33:$Y$35</c:f>
              <c:numCache>
                <c:formatCode>General</c:formatCode>
                <c:ptCount val="3"/>
                <c:pt idx="0">
                  <c:v>1.3293069189155524E-2</c:v>
                </c:pt>
                <c:pt idx="1">
                  <c:v>2.7179013507131568E-2</c:v>
                </c:pt>
                <c:pt idx="2">
                  <c:v>3.5821992309275248E-2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B2-4543-9FD5-017DC4952997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speed'!$Y$37:$Y$40</c:f>
              <c:numCache>
                <c:formatCode>General</c:formatCode>
                <c:ptCount val="4"/>
                <c:pt idx="0">
                  <c:v>7.1515402487930362E-3</c:v>
                </c:pt>
                <c:pt idx="1">
                  <c:v>2.718866649002943E-2</c:v>
                </c:pt>
                <c:pt idx="2">
                  <c:v>2.3613930823061697E-2</c:v>
                </c:pt>
                <c:pt idx="3">
                  <c:v>1.9684552264690788E-2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B2-4543-9FD5-017DC4952997}"/>
            </c:ext>
          </c:extLst>
        </c:ser>
        <c:ser>
          <c:idx val="15"/>
          <c:order val="7"/>
          <c:tx>
            <c:strRef>
              <c:f>'Results vs speed'!$Q$3</c:f>
              <c:strCache>
                <c:ptCount val="1"/>
                <c:pt idx="0">
                  <c:v>V1, 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speed'!$L$41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speed'!$Y$41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B2-4543-9FD5-017DC4952997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speed'!$Y$42:$Y$47</c:f>
              <c:numCache>
                <c:formatCode>General</c:formatCode>
                <c:ptCount val="6"/>
                <c:pt idx="0">
                  <c:v>8.6814518878018093E-3</c:v>
                </c:pt>
                <c:pt idx="1">
                  <c:v>2.5881302239457962E-2</c:v>
                </c:pt>
                <c:pt idx="2">
                  <c:v>1.8703039765211416E-2</c:v>
                </c:pt>
                <c:pt idx="3">
                  <c:v>1.8640952613595736E-2</c:v>
                </c:pt>
                <c:pt idx="4">
                  <c:v>2.1073655208199451E-2</c:v>
                </c:pt>
                <c:pt idx="5">
                  <c:v>1.9231473421214271E-2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B2-4543-9FD5-017DC4952997}"/>
            </c:ext>
          </c:extLst>
        </c:ser>
        <c:ser>
          <c:idx val="16"/>
          <c:order val="9"/>
          <c:tx>
            <c:strRef>
              <c:f>'Results vs speed'!$Q$5</c:f>
              <c:strCache>
                <c:ptCount val="1"/>
                <c:pt idx="0">
                  <c:v>V1, 12°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speed'!$L$48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speed'!$Y$48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AB2-4543-9FD5-017DC4952997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speed'!$Y$49:$Y$52</c:f>
              <c:numCache>
                <c:formatCode>General</c:formatCode>
                <c:ptCount val="4"/>
                <c:pt idx="0">
                  <c:v>5.3993110471940815E-3</c:v>
                </c:pt>
                <c:pt idx="1">
                  <c:v>1.6422833318036806E-2</c:v>
                </c:pt>
                <c:pt idx="2">
                  <c:v>1.4763611258228147E-2</c:v>
                </c:pt>
                <c:pt idx="3">
                  <c:v>1.8128280457891808E-2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AB2-4543-9FD5-017DC4952997}"/>
            </c:ext>
          </c:extLst>
        </c:ser>
        <c:ser>
          <c:idx val="8"/>
          <c:order val="11"/>
          <c:tx>
            <c:strRef>
              <c:f>'Results vs speed'!$Q$7</c:f>
              <c:strCache>
                <c:ptCount val="1"/>
                <c:pt idx="0">
                  <c:v>V1, 24°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'Results vs speed'!$L$53:$L$56</c:f>
              <c:numCache>
                <c:formatCode>General</c:formatCode>
                <c:ptCount val="4"/>
                <c:pt idx="0">
                  <c:v>0.40032908499999997</c:v>
                </c:pt>
                <c:pt idx="1">
                  <c:v>0.80901094500000004</c:v>
                </c:pt>
                <c:pt idx="2">
                  <c:v>1.003192364</c:v>
                </c:pt>
                <c:pt idx="3">
                  <c:v>1.194729685</c:v>
                </c:pt>
              </c:numCache>
            </c:numRef>
          </c:xVal>
          <c:yVal>
            <c:numRef>
              <c:f>'Results vs speed'!$Y$53:$Y$56</c:f>
              <c:numCache>
                <c:formatCode>General</c:formatCode>
                <c:ptCount val="4"/>
                <c:pt idx="0">
                  <c:v>1.253371360826851E-2</c:v>
                </c:pt>
                <c:pt idx="1">
                  <c:v>1.317496465298975E-2</c:v>
                </c:pt>
                <c:pt idx="2">
                  <c:v>1.8025187035923346E-2</c:v>
                </c:pt>
                <c:pt idx="3">
                  <c:v>1.9321127858153365E-2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AB2-4543-9FD5-017DC4952997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speed'!$Y$58:$Y$60</c:f>
              <c:numCache>
                <c:formatCode>General</c:formatCode>
                <c:ptCount val="3"/>
                <c:pt idx="0">
                  <c:v>8.4457846231607084E-3</c:v>
                </c:pt>
                <c:pt idx="1">
                  <c:v>9.4520207090839931E-3</c:v>
                </c:pt>
                <c:pt idx="2">
                  <c:v>1.5672113664844924E-2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AB2-4543-9FD5-017DC4952997}"/>
            </c:ext>
          </c:extLst>
        </c:ser>
        <c:ser>
          <c:idx val="10"/>
          <c:order val="13"/>
          <c:tx>
            <c:strRef>
              <c:f>'Results vs speed'!$R$3</c:f>
              <c:strCache>
                <c:ptCount val="1"/>
                <c:pt idx="0">
                  <c:v>V2, 4°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speed'!$L$61:$L$63</c:f>
              <c:numCache>
                <c:formatCode>General</c:formatCode>
                <c:ptCount val="3"/>
                <c:pt idx="0">
                  <c:v>0.399398115</c:v>
                </c:pt>
                <c:pt idx="1">
                  <c:v>0.80615512700000003</c:v>
                </c:pt>
                <c:pt idx="2">
                  <c:v>1.196628434</c:v>
                </c:pt>
              </c:numCache>
            </c:numRef>
          </c:xVal>
          <c:yVal>
            <c:numRef>
              <c:f>'Results vs speed'!$Y$61:$Y$63</c:f>
              <c:numCache>
                <c:formatCode>General</c:formatCode>
                <c:ptCount val="3"/>
                <c:pt idx="0">
                  <c:v>4.0594503522460492E-3</c:v>
                </c:pt>
                <c:pt idx="1">
                  <c:v>1.5218237562305186E-2</c:v>
                </c:pt>
                <c:pt idx="2">
                  <c:v>1.3924842970088796E-2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AB2-4543-9FD5-017DC4952997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speed'!$Y$64:$Y$66</c:f>
              <c:numCache>
                <c:formatCode>General</c:formatCode>
                <c:ptCount val="3"/>
                <c:pt idx="0">
                  <c:v>2.6340274272105276E-2</c:v>
                </c:pt>
                <c:pt idx="1">
                  <c:v>4.8145392393202343E-3</c:v>
                </c:pt>
                <c:pt idx="2">
                  <c:v>1.2891047962498016E-2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AB2-4543-9FD5-017DC4952997}"/>
            </c:ext>
          </c:extLst>
        </c:ser>
        <c:ser>
          <c:idx val="13"/>
          <c:order val="15"/>
          <c:tx>
            <c:strRef>
              <c:f>'Results vs speed'!$R$5</c:f>
              <c:strCache>
                <c:ptCount val="1"/>
                <c:pt idx="0">
                  <c:v>V2, 12°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speed'!$L$67:$L$69</c:f>
              <c:numCache>
                <c:formatCode>General</c:formatCode>
                <c:ptCount val="3"/>
                <c:pt idx="0">
                  <c:v>0.39940424800000002</c:v>
                </c:pt>
                <c:pt idx="1">
                  <c:v>0.80926551300000005</c:v>
                </c:pt>
                <c:pt idx="2">
                  <c:v>1.1966545070000001</c:v>
                </c:pt>
              </c:numCache>
            </c:numRef>
          </c:xVal>
          <c:yVal>
            <c:numRef>
              <c:f>'Results vs speed'!$Y$67:$Y$69</c:f>
              <c:numCache>
                <c:formatCode>General</c:formatCode>
                <c:ptCount val="3"/>
                <c:pt idx="0">
                  <c:v>-2.9691330775944956E-3</c:v>
                </c:pt>
                <c:pt idx="1">
                  <c:v>1.7681791172886912E-2</c:v>
                </c:pt>
                <c:pt idx="2">
                  <c:v>8.4034971794078803E-3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AB2-4543-9FD5-017DC4952997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speed'!$Y$70:$Y$72</c:f>
              <c:numCache>
                <c:formatCode>General</c:formatCode>
                <c:ptCount val="3"/>
                <c:pt idx="0">
                  <c:v>7.9491866035753585E-3</c:v>
                </c:pt>
                <c:pt idx="1">
                  <c:v>4.8337217021287467E-3</c:v>
                </c:pt>
                <c:pt idx="2">
                  <c:v>5.1397082558576387E-3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AB2-4543-9FD5-017DC495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43008"/>
        <c:axId val="122061952"/>
      </c:scatterChart>
      <c:valAx>
        <c:axId val="122043008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22061952"/>
        <c:crosses val="autoZero"/>
        <c:crossBetween val="midCat"/>
        <c:majorUnit val="0.2"/>
      </c:valAx>
      <c:valAx>
        <c:axId val="122061952"/>
        <c:scaling>
          <c:orientation val="minMax"/>
          <c:max val="0.1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R</a:t>
                </a:r>
                <a:r>
                  <a:rPr lang="en-US" b="0" i="1"/>
                  <a:t>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043008"/>
        <c:crosses val="autoZero"/>
        <c:crossBetween val="midCat"/>
        <c:majorUnit val="5.000000000000001E-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2.5309909618639943E-2"/>
          <c:y val="0.75302360657107936"/>
          <c:w val="0.95934353271391171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speed'!$Z$15:$Z$19</c:f>
              <c:numCache>
                <c:formatCode>General</c:formatCode>
                <c:ptCount val="5"/>
                <c:pt idx="0">
                  <c:v>1.3187118231978726E-2</c:v>
                </c:pt>
                <c:pt idx="1">
                  <c:v>-6.9860001683000311E-3</c:v>
                </c:pt>
                <c:pt idx="2">
                  <c:v>-2.1752992357932772E-3</c:v>
                </c:pt>
                <c:pt idx="3">
                  <c:v>-5.4439733543478787E-3</c:v>
                </c:pt>
                <c:pt idx="4">
                  <c:v>-5.2838325625814038E-3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57-42D5-92D6-E25E7B68D82B}"/>
            </c:ext>
          </c:extLst>
        </c:ser>
        <c:ser>
          <c:idx val="1"/>
          <c:order val="1"/>
          <c:tx>
            <c:strRef>
              <c:f>'Results vs speed'!$P$3</c:f>
              <c:strCache>
                <c:ptCount val="1"/>
                <c:pt idx="0">
                  <c:v>U, 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speed'!$L$20:$L$23</c:f>
              <c:numCache>
                <c:formatCode>General</c:formatCode>
                <c:ptCount val="4"/>
                <c:pt idx="0">
                  <c:v>0.40036896100000002</c:v>
                </c:pt>
                <c:pt idx="1">
                  <c:v>0.80652782099999998</c:v>
                </c:pt>
                <c:pt idx="2">
                  <c:v>1.1985547809999999</c:v>
                </c:pt>
                <c:pt idx="3">
                  <c:v>1.605772797</c:v>
                </c:pt>
              </c:numCache>
            </c:numRef>
          </c:xVal>
          <c:yVal>
            <c:numRef>
              <c:f>'Results vs speed'!$Z$20:$Z$23</c:f>
              <c:numCache>
                <c:formatCode>General</c:formatCode>
                <c:ptCount val="4"/>
                <c:pt idx="0">
                  <c:v>1.0116037101101396E-2</c:v>
                </c:pt>
                <c:pt idx="1">
                  <c:v>6.0006070596382455E-3</c:v>
                </c:pt>
                <c:pt idx="2">
                  <c:v>1.038025423718888E-2</c:v>
                </c:pt>
                <c:pt idx="3">
                  <c:v>1.4086143684047011E-2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57-42D5-92D6-E25E7B68D82B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speed'!$L$25:$L$28</c:f>
              <c:numCache>
                <c:formatCode>General</c:formatCode>
                <c:ptCount val="4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  <c:pt idx="3">
                  <c:v>1.1942638269999999</c:v>
                </c:pt>
              </c:numCache>
            </c:numRef>
          </c:xVal>
          <c:yVal>
            <c:numRef>
              <c:f>'Results vs speed'!$Z$25:$Z$28</c:f>
              <c:numCache>
                <c:formatCode>General</c:formatCode>
                <c:ptCount val="4"/>
                <c:pt idx="0">
                  <c:v>1.9235283672143774E-2</c:v>
                </c:pt>
                <c:pt idx="1">
                  <c:v>1.8801535065334791E-2</c:v>
                </c:pt>
                <c:pt idx="2">
                  <c:v>3.4942764380023715E-2</c:v>
                </c:pt>
                <c:pt idx="3">
                  <c:v>2.9143264829260926E-2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57-42D5-92D6-E25E7B68D82B}"/>
            </c:ext>
          </c:extLst>
        </c:ser>
        <c:ser>
          <c:idx val="14"/>
          <c:order val="3"/>
          <c:tx>
            <c:strRef>
              <c:f>'Results vs speed'!$P$5</c:f>
              <c:strCache>
                <c:ptCount val="1"/>
                <c:pt idx="0">
                  <c:v>U, 12°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speed'!$L$29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speed'!$Z$29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57-42D5-92D6-E25E7B68D82B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speed'!$Z$30:$Z$32</c:f>
              <c:numCache>
                <c:formatCode>General</c:formatCode>
                <c:ptCount val="3"/>
                <c:pt idx="0">
                  <c:v>8.1764653169116269E-2</c:v>
                </c:pt>
                <c:pt idx="1">
                  <c:v>5.3218331388462659E-2</c:v>
                </c:pt>
                <c:pt idx="2">
                  <c:v>7.3341092147071116E-2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57-42D5-92D6-E25E7B68D82B}"/>
            </c:ext>
          </c:extLst>
        </c:ser>
        <c:ser>
          <c:idx val="4"/>
          <c:order val="5"/>
          <c:tx>
            <c:strRef>
              <c:f>'Results vs speed'!$P$7</c:f>
              <c:strCache>
                <c:ptCount val="1"/>
                <c:pt idx="0">
                  <c:v>U, 24°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'Results vs speed'!$L$33:$L$35</c:f>
              <c:numCache>
                <c:formatCode>General</c:formatCode>
                <c:ptCount val="3"/>
                <c:pt idx="0">
                  <c:v>0.40077541500000002</c:v>
                </c:pt>
                <c:pt idx="1">
                  <c:v>0.80715357399999998</c:v>
                </c:pt>
                <c:pt idx="2">
                  <c:v>1.196083969</c:v>
                </c:pt>
              </c:numCache>
            </c:numRef>
          </c:xVal>
          <c:yVal>
            <c:numRef>
              <c:f>'Results vs speed'!$Z$33:$Z$35</c:f>
              <c:numCache>
                <c:formatCode>General</c:formatCode>
                <c:ptCount val="3"/>
                <c:pt idx="0">
                  <c:v>0.16262965532923288</c:v>
                </c:pt>
                <c:pt idx="1">
                  <c:v>9.9853179362923053E-2</c:v>
                </c:pt>
                <c:pt idx="2">
                  <c:v>0.11753596640384151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57-42D5-92D6-E25E7B68D82B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speed'!$Z$37:$Z$40</c:f>
              <c:numCache>
                <c:formatCode>General</c:formatCode>
                <c:ptCount val="4"/>
                <c:pt idx="0">
                  <c:v>4.6696617770944221E-3</c:v>
                </c:pt>
                <c:pt idx="1">
                  <c:v>2.88772703999295E-3</c:v>
                </c:pt>
                <c:pt idx="2">
                  <c:v>3.2621056188216818E-3</c:v>
                </c:pt>
                <c:pt idx="3">
                  <c:v>2.8469570158263474E-3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57-42D5-92D6-E25E7B68D82B}"/>
            </c:ext>
          </c:extLst>
        </c:ser>
        <c:ser>
          <c:idx val="15"/>
          <c:order val="7"/>
          <c:tx>
            <c:strRef>
              <c:f>'Results vs speed'!$Q$3</c:f>
              <c:strCache>
                <c:ptCount val="1"/>
                <c:pt idx="0">
                  <c:v>V1, 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speed'!$L$41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speed'!$Z$41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57-42D5-92D6-E25E7B68D82B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speed'!$Z$42:$Z$47</c:f>
              <c:numCache>
                <c:formatCode>General</c:formatCode>
                <c:ptCount val="6"/>
                <c:pt idx="0">
                  <c:v>5.3512055051881342E-2</c:v>
                </c:pt>
                <c:pt idx="1">
                  <c:v>5.4370445533106708E-2</c:v>
                </c:pt>
                <c:pt idx="2">
                  <c:v>6.1719633539002311E-2</c:v>
                </c:pt>
                <c:pt idx="3">
                  <c:v>5.9571092458754721E-2</c:v>
                </c:pt>
                <c:pt idx="4">
                  <c:v>5.6795616177364776E-2</c:v>
                </c:pt>
                <c:pt idx="5">
                  <c:v>5.065467048662526E-2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57-42D5-92D6-E25E7B68D82B}"/>
            </c:ext>
          </c:extLst>
        </c:ser>
        <c:ser>
          <c:idx val="16"/>
          <c:order val="9"/>
          <c:tx>
            <c:strRef>
              <c:f>'Results vs speed'!$Q$5</c:f>
              <c:strCache>
                <c:ptCount val="1"/>
                <c:pt idx="0">
                  <c:v>V1, 12°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speed'!$L$48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speed'!$Z$48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57-42D5-92D6-E25E7B68D82B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speed'!$Z$49:$Z$52</c:f>
              <c:numCache>
                <c:formatCode>General</c:formatCode>
                <c:ptCount val="4"/>
                <c:pt idx="0">
                  <c:v>0.14167895310819661</c:v>
                </c:pt>
                <c:pt idx="1">
                  <c:v>0.15286212918586606</c:v>
                </c:pt>
                <c:pt idx="2">
                  <c:v>0.16314389146967687</c:v>
                </c:pt>
                <c:pt idx="3">
                  <c:v>0.14090736814998425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857-42D5-92D6-E25E7B68D82B}"/>
            </c:ext>
          </c:extLst>
        </c:ser>
        <c:ser>
          <c:idx val="8"/>
          <c:order val="11"/>
          <c:tx>
            <c:strRef>
              <c:f>'Results vs speed'!$Q$7</c:f>
              <c:strCache>
                <c:ptCount val="1"/>
                <c:pt idx="0">
                  <c:v>V1, 24°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'Results vs speed'!$L$53:$L$56</c:f>
              <c:numCache>
                <c:formatCode>General</c:formatCode>
                <c:ptCount val="4"/>
                <c:pt idx="0">
                  <c:v>0.40032908499999997</c:v>
                </c:pt>
                <c:pt idx="1">
                  <c:v>0.80901094500000004</c:v>
                </c:pt>
                <c:pt idx="2">
                  <c:v>1.003192364</c:v>
                </c:pt>
                <c:pt idx="3">
                  <c:v>1.194729685</c:v>
                </c:pt>
              </c:numCache>
            </c:numRef>
          </c:xVal>
          <c:yVal>
            <c:numRef>
              <c:f>'Results vs speed'!$Z$53:$Z$56</c:f>
              <c:numCache>
                <c:formatCode>General</c:formatCode>
                <c:ptCount val="4"/>
                <c:pt idx="0">
                  <c:v>0.26554290103086681</c:v>
                </c:pt>
                <c:pt idx="1">
                  <c:v>0.25924834603309732</c:v>
                </c:pt>
                <c:pt idx="2">
                  <c:v>0.26285187585755099</c:v>
                </c:pt>
                <c:pt idx="3">
                  <c:v>0.23441326625269635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857-42D5-92D6-E25E7B68D82B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speed'!$Z$58:$Z$60</c:f>
              <c:numCache>
                <c:formatCode>General</c:formatCode>
                <c:ptCount val="3"/>
                <c:pt idx="0">
                  <c:v>1.8275323651932839E-4</c:v>
                </c:pt>
                <c:pt idx="1">
                  <c:v>2.2729513777060011E-3</c:v>
                </c:pt>
                <c:pt idx="2">
                  <c:v>3.3332468871797526E-3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857-42D5-92D6-E25E7B68D82B}"/>
            </c:ext>
          </c:extLst>
        </c:ser>
        <c:ser>
          <c:idx val="10"/>
          <c:order val="13"/>
          <c:tx>
            <c:strRef>
              <c:f>'Results vs speed'!$R$3</c:f>
              <c:strCache>
                <c:ptCount val="1"/>
                <c:pt idx="0">
                  <c:v>V2, 4°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speed'!$L$61:$L$63</c:f>
              <c:numCache>
                <c:formatCode>General</c:formatCode>
                <c:ptCount val="3"/>
                <c:pt idx="0">
                  <c:v>0.399398115</c:v>
                </c:pt>
                <c:pt idx="1">
                  <c:v>0.80615512700000003</c:v>
                </c:pt>
                <c:pt idx="2">
                  <c:v>1.196628434</c:v>
                </c:pt>
              </c:numCache>
            </c:numRef>
          </c:xVal>
          <c:yVal>
            <c:numRef>
              <c:f>'Results vs speed'!$Z$61:$Z$63</c:f>
              <c:numCache>
                <c:formatCode>General</c:formatCode>
                <c:ptCount val="3"/>
                <c:pt idx="0">
                  <c:v>2.648688731089097E-2</c:v>
                </c:pt>
                <c:pt idx="1">
                  <c:v>2.7546600584477724E-2</c:v>
                </c:pt>
                <c:pt idx="2">
                  <c:v>2.9596873027805476E-2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857-42D5-92D6-E25E7B68D82B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speed'!$Z$64:$Z$66</c:f>
              <c:numCache>
                <c:formatCode>General</c:formatCode>
                <c:ptCount val="3"/>
                <c:pt idx="0">
                  <c:v>6.4389917291494111E-2</c:v>
                </c:pt>
                <c:pt idx="1">
                  <c:v>6.8082567171741409E-2</c:v>
                </c:pt>
                <c:pt idx="2">
                  <c:v>7.0996186245528461E-2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857-42D5-92D6-E25E7B68D82B}"/>
            </c:ext>
          </c:extLst>
        </c:ser>
        <c:ser>
          <c:idx val="13"/>
          <c:order val="15"/>
          <c:tx>
            <c:strRef>
              <c:f>'Results vs speed'!$R$5</c:f>
              <c:strCache>
                <c:ptCount val="1"/>
                <c:pt idx="0">
                  <c:v>V2, 12°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speed'!$L$67:$L$69</c:f>
              <c:numCache>
                <c:formatCode>General</c:formatCode>
                <c:ptCount val="3"/>
                <c:pt idx="0">
                  <c:v>0.39940424800000002</c:v>
                </c:pt>
                <c:pt idx="1">
                  <c:v>0.80926551300000005</c:v>
                </c:pt>
                <c:pt idx="2">
                  <c:v>1.1966545070000001</c:v>
                </c:pt>
              </c:numCache>
            </c:numRef>
          </c:xVal>
          <c:yVal>
            <c:numRef>
              <c:f>'Results vs speed'!$Z$67:$Z$69</c:f>
              <c:numCache>
                <c:formatCode>General</c:formatCode>
                <c:ptCount val="3"/>
                <c:pt idx="0">
                  <c:v>0.1291007691348928</c:v>
                </c:pt>
                <c:pt idx="1">
                  <c:v>0.12425547707548359</c:v>
                </c:pt>
                <c:pt idx="2">
                  <c:v>0.13036986185977475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857-42D5-92D6-E25E7B68D82B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speed'!$Z$70:$Z$72</c:f>
              <c:numCache>
                <c:formatCode>General</c:formatCode>
                <c:ptCount val="3"/>
                <c:pt idx="0">
                  <c:v>0.19854808690524339</c:v>
                </c:pt>
                <c:pt idx="1">
                  <c:v>0.19623584794052498</c:v>
                </c:pt>
                <c:pt idx="2">
                  <c:v>0.19414413237362177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857-42D5-92D6-E25E7B68D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23328"/>
        <c:axId val="122325632"/>
      </c:scatterChart>
      <c:valAx>
        <c:axId val="122323328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22325632"/>
        <c:crosses val="autoZero"/>
        <c:crossBetween val="midCat"/>
        <c:majorUnit val="0.2"/>
      </c:valAx>
      <c:valAx>
        <c:axId val="122325632"/>
        <c:scaling>
          <c:orientation val="minMax"/>
          <c:max val="0.30000000000000004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323328"/>
        <c:crosses val="autoZero"/>
        <c:crossBetween val="midCat"/>
        <c:majorUnit val="0.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3500845233772055"/>
          <c:y val="0.7505232116988364"/>
          <c:w val="0.64339775940674149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701364917844250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speed'!$O$15:$O$19</c:f>
              <c:numCache>
                <c:formatCode>General</c:formatCode>
                <c:ptCount val="5"/>
                <c:pt idx="0">
                  <c:v>8.2277369999999989E-3</c:v>
                </c:pt>
                <c:pt idx="1">
                  <c:v>9.9304519999999993E-2</c:v>
                </c:pt>
                <c:pt idx="2">
                  <c:v>0.51653595299999999</c:v>
                </c:pt>
                <c:pt idx="3">
                  <c:v>1.6150736499999998</c:v>
                </c:pt>
                <c:pt idx="4">
                  <c:v>2.4866430589999999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D-4926-ACEC-1652A1C5A5B6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speed'!$L$25:$L$27</c:f>
              <c:numCache>
                <c:formatCode>General</c:formatCode>
                <c:ptCount val="3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</c:numCache>
            </c:numRef>
          </c:xVal>
          <c:yVal>
            <c:numRef>
              <c:f>'Results vs speed'!$O$25:$O$27</c:f>
              <c:numCache>
                <c:formatCode>General</c:formatCode>
                <c:ptCount val="3"/>
                <c:pt idx="0">
                  <c:v>0.221632302</c:v>
                </c:pt>
                <c:pt idx="1">
                  <c:v>0.60233237300000009</c:v>
                </c:pt>
                <c:pt idx="2">
                  <c:v>1.8254384689999998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D-4926-ACEC-1652A1C5A5B6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speed'!$O$30:$O$32</c:f>
              <c:numCache>
                <c:formatCode>General</c:formatCode>
                <c:ptCount val="3"/>
                <c:pt idx="0">
                  <c:v>0.11927837500000001</c:v>
                </c:pt>
                <c:pt idx="1">
                  <c:v>0.48797140699999986</c:v>
                </c:pt>
                <c:pt idx="2">
                  <c:v>2.0054195400000001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6D-4926-ACEC-1652A1C5A5B6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speed'!$O$37:$O$40</c:f>
              <c:numCache>
                <c:formatCode>General</c:formatCode>
                <c:ptCount val="4"/>
                <c:pt idx="0">
                  <c:v>2.7794197E-2</c:v>
                </c:pt>
                <c:pt idx="1">
                  <c:v>0.43268670799999998</c:v>
                </c:pt>
                <c:pt idx="2">
                  <c:v>0.82467747499999999</c:v>
                </c:pt>
                <c:pt idx="3">
                  <c:v>1.2398563490000001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6D-4926-ACEC-1652A1C5A5B6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speed'!$O$42:$O$47</c:f>
              <c:numCache>
                <c:formatCode>General</c:formatCode>
                <c:ptCount val="6"/>
                <c:pt idx="0">
                  <c:v>6.2739980000000001E-2</c:v>
                </c:pt>
                <c:pt idx="1">
                  <c:v>0.53100438999999999</c:v>
                </c:pt>
                <c:pt idx="2">
                  <c:v>0.95143992700000002</c:v>
                </c:pt>
                <c:pt idx="3">
                  <c:v>1.682721887</c:v>
                </c:pt>
                <c:pt idx="4">
                  <c:v>1.805329822</c:v>
                </c:pt>
                <c:pt idx="5">
                  <c:v>1.6372181589999999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6D-4926-ACEC-1652A1C5A5B6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speed'!$O$49:$O$52</c:f>
              <c:numCache>
                <c:formatCode>General</c:formatCode>
                <c:ptCount val="4"/>
                <c:pt idx="0">
                  <c:v>0.17309189899999999</c:v>
                </c:pt>
                <c:pt idx="1">
                  <c:v>0.92767938400000005</c:v>
                </c:pt>
                <c:pt idx="2">
                  <c:v>2.0713320180000001</c:v>
                </c:pt>
                <c:pt idx="3">
                  <c:v>3.5402592590000004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6D-4926-ACEC-1652A1C5A5B6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speed'!$O$58:$O$60</c:f>
              <c:numCache>
                <c:formatCode>General</c:formatCode>
                <c:ptCount val="3"/>
                <c:pt idx="0">
                  <c:v>3.3049399E-2</c:v>
                </c:pt>
                <c:pt idx="1">
                  <c:v>0.150880187</c:v>
                </c:pt>
                <c:pt idx="2">
                  <c:v>0.54744192999999997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6D-4926-ACEC-1652A1C5A5B6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speed'!$O$64:$O$66</c:f>
              <c:numCache>
                <c:formatCode>General</c:formatCode>
                <c:ptCount val="3"/>
                <c:pt idx="0">
                  <c:v>0.136457726</c:v>
                </c:pt>
                <c:pt idx="1">
                  <c:v>0.22767566100000003</c:v>
                </c:pt>
                <c:pt idx="2">
                  <c:v>0.78753594500000013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36D-4926-ACEC-1652A1C5A5B6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speed'!$O$70:$O$72</c:f>
              <c:numCache>
                <c:formatCode>General</c:formatCode>
                <c:ptCount val="3"/>
                <c:pt idx="0">
                  <c:v>0.24446905000000002</c:v>
                </c:pt>
                <c:pt idx="1">
                  <c:v>0.93636077299999987</c:v>
                </c:pt>
                <c:pt idx="2">
                  <c:v>2.0429319759999998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36D-4926-ACEC-1652A1C5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26464"/>
        <c:axId val="10768908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'Results vs speed'!$P$3</c15:sqref>
                        </c15:formulaRef>
                      </c:ext>
                    </c:extLst>
                    <c:strCache>
                      <c:ptCount val="1"/>
                      <c:pt idx="0">
                        <c:v>U, 4°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marker>
                  <c:symbol val="x"/>
                  <c:size val="7"/>
                  <c:spPr>
                    <a:noFill/>
                    <a:ln w="19050"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'Results vs speed'!$L$20:$L$23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0.40036896100000002</c:v>
                      </c:pt>
                      <c:pt idx="1">
                        <c:v>0.80652782099999998</c:v>
                      </c:pt>
                      <c:pt idx="2">
                        <c:v>1.1985547809999999</c:v>
                      </c:pt>
                      <c:pt idx="3">
                        <c:v>1.605772797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'Results vs speed'!$O$20:$O$23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5.9672465000000001E-2</c:v>
                      </c:pt>
                      <c:pt idx="1">
                        <c:v>0.54670943900000002</c:v>
                      </c:pt>
                      <c:pt idx="2">
                        <c:v>1.737280025</c:v>
                      </c:pt>
                      <c:pt idx="3">
                        <c:v>2.673215506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36D-4926-ACEC-1652A1C5A5B6}"/>
                  </c:ext>
                </c:extLst>
              </c15:ser>
            </c15:filteredScatterSeries>
            <c15:filteredScatterSeries>
              <c15:ser>
                <c:idx val="1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speed'!$P$5</c15:sqref>
                        </c15:formulaRef>
                      </c:ext>
                    </c:extLst>
                    <c:strCache>
                      <c:ptCount val="1"/>
                      <c:pt idx="0">
                        <c:v>U, 12°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marker>
                  <c:symbol val="triangle"/>
                  <c:size val="7"/>
                  <c:spPr>
                    <a:noFill/>
                    <a:ln w="19050"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speed'!$L$29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speed'!$O$29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6D-4926-ACEC-1652A1C5A5B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speed'!$P$7</c15:sqref>
                        </c15:formulaRef>
                      </c:ext>
                    </c:extLst>
                    <c:strCache>
                      <c:ptCount val="1"/>
                      <c:pt idx="0">
                        <c:v>U, 24°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speed'!$L$33:$L$35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0.40077541500000002</c:v>
                      </c:pt>
                      <c:pt idx="1">
                        <c:v>0.80715357399999998</c:v>
                      </c:pt>
                      <c:pt idx="2">
                        <c:v>1.196083969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speed'!$O$33:$O$35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0.306835264</c:v>
                      </c:pt>
                      <c:pt idx="1">
                        <c:v>1.0403195900000002</c:v>
                      </c:pt>
                      <c:pt idx="2">
                        <c:v>2.8111068349999999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36D-4926-ACEC-1652A1C5A5B6}"/>
                  </c:ext>
                </c:extLst>
              </c15:ser>
            </c15:filteredScatterSeries>
            <c15:filteredScatterSeries>
              <c15:ser>
                <c:idx val="1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speed'!$Q$3</c15:sqref>
                        </c15:formulaRef>
                      </c:ext>
                    </c:extLst>
                    <c:strCache>
                      <c:ptCount val="1"/>
                      <c:pt idx="0">
                        <c:v>V1, 4°</c:v>
                      </c:pt>
                    </c:strCache>
                  </c:strRef>
                </c:tx>
                <c:spPr>
                  <a:ln>
                    <a:solidFill>
                      <a:srgbClr val="C00000"/>
                    </a:solidFill>
                    <a:prstDash val="sysDot"/>
                  </a:ln>
                </c:spPr>
                <c:marker>
                  <c:symbol val="x"/>
                  <c:size val="7"/>
                  <c:spPr>
                    <a:noFill/>
                    <a:ln w="1905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speed'!$L$41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speed'!$O$41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36D-4926-ACEC-1652A1C5A5B6}"/>
                  </c:ext>
                </c:extLst>
              </c15:ser>
            </c15:filteredScatterSeries>
            <c15:filteredScatterSeries>
              <c15:ser>
                <c:idx val="1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speed'!$Q$5</c15:sqref>
                        </c15:formulaRef>
                      </c:ext>
                    </c:extLst>
                    <c:strCache>
                      <c:ptCount val="1"/>
                      <c:pt idx="0">
                        <c:v>V1, 12°</c:v>
                      </c:pt>
                    </c:strCache>
                  </c:strRef>
                </c:tx>
                <c:spPr>
                  <a:ln>
                    <a:solidFill>
                      <a:srgbClr val="C00000"/>
                    </a:solidFill>
                    <a:prstDash val="sysDot"/>
                  </a:ln>
                </c:spPr>
                <c:marker>
                  <c:symbol val="triangle"/>
                  <c:size val="7"/>
                  <c:spPr>
                    <a:noFill/>
                    <a:ln w="1905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speed'!$L$48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speed'!$O$48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36D-4926-ACEC-1652A1C5A5B6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speed'!$Q$7</c15:sqref>
                        </c15:formulaRef>
                      </c:ext>
                    </c:extLst>
                    <c:strCache>
                      <c:ptCount val="1"/>
                      <c:pt idx="0">
                        <c:v>V1, 24°</c:v>
                      </c:pt>
                    </c:strCache>
                  </c:strRef>
                </c:tx>
                <c:spPr>
                  <a:ln>
                    <a:solidFill>
                      <a:srgbClr val="C00000"/>
                    </a:solidFill>
                    <a:prstDash val="sysDot"/>
                  </a:ln>
                </c:spPr>
                <c:marker>
                  <c:symbol val="circle"/>
                  <c:size val="7"/>
                  <c:spPr>
                    <a:solidFill>
                      <a:srgbClr val="C00000"/>
                    </a:solidFill>
                    <a:ln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speed'!$L$53:$L$56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0.40032908499999997</c:v>
                      </c:pt>
                      <c:pt idx="1">
                        <c:v>0.80901094500000004</c:v>
                      </c:pt>
                      <c:pt idx="2">
                        <c:v>1.003192364</c:v>
                      </c:pt>
                      <c:pt idx="3">
                        <c:v>1.194729685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speed'!$O$53:$O$56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0.46712446199999996</c:v>
                      </c:pt>
                      <c:pt idx="1">
                        <c:v>1.8761560489999998</c:v>
                      </c:pt>
                      <c:pt idx="2">
                        <c:v>3.0296824060000001</c:v>
                      </c:pt>
                      <c:pt idx="3">
                        <c:v>3.9354020369999994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36D-4926-ACEC-1652A1C5A5B6}"/>
                  </c:ext>
                </c:extLst>
              </c15:ser>
            </c15:filteredScatterSeries>
            <c15:filteredScatterSeries>
              <c15:ser>
                <c:idx val="10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speed'!$R$3</c15:sqref>
                        </c15:formulaRef>
                      </c:ext>
                    </c:extLst>
                    <c:strCache>
                      <c:ptCount val="1"/>
                      <c:pt idx="0">
                        <c:v>V2, 4°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  <a:prstDash val="dash"/>
                  </a:ln>
                </c:spPr>
                <c:marker>
                  <c:symbol val="x"/>
                  <c:size val="7"/>
                  <c:spPr>
                    <a:noFill/>
                    <a:ln w="19050">
                      <a:solidFill>
                        <a:schemeClr val="accent6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speed'!$L$61:$L$63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0.399398115</c:v>
                      </c:pt>
                      <c:pt idx="1">
                        <c:v>0.80615512700000003</c:v>
                      </c:pt>
                      <c:pt idx="2">
                        <c:v>1.196628434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speed'!$O$61:$O$63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2.2953411E-2</c:v>
                      </c:pt>
                      <c:pt idx="1">
                        <c:v>0.27120161000000004</c:v>
                      </c:pt>
                      <c:pt idx="2">
                        <c:v>0.55746650600000003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36D-4926-ACEC-1652A1C5A5B6}"/>
                  </c:ext>
                </c:extLst>
              </c15:ser>
            </c15:filteredScatterSeries>
            <c15:filteredScatterSeries>
              <c15:ser>
                <c:idx val="13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speed'!$R$5</c15:sqref>
                        </c15:formulaRef>
                      </c:ext>
                    </c:extLst>
                    <c:strCache>
                      <c:ptCount val="1"/>
                      <c:pt idx="0">
                        <c:v>V2, 12°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  <a:prstDash val="dash"/>
                  </a:ln>
                </c:spPr>
                <c:marker>
                  <c:symbol val="triangle"/>
                  <c:size val="7"/>
                  <c:spPr>
                    <a:noFill/>
                    <a:ln w="19050">
                      <a:solidFill>
                        <a:schemeClr val="accent6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speed'!$L$67:$L$69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0.39940424800000002</c:v>
                      </c:pt>
                      <c:pt idx="1">
                        <c:v>0.80926551300000005</c:v>
                      </c:pt>
                      <c:pt idx="2">
                        <c:v>1.1966545070000001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speed'!$O$67:$O$69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9.3173092000000013E-2</c:v>
                      </c:pt>
                      <c:pt idx="1">
                        <c:v>0.68920274799999992</c:v>
                      </c:pt>
                      <c:pt idx="2">
                        <c:v>1.2342780019999999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36D-4926-ACEC-1652A1C5A5B6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speed'!$R$7</c15:sqref>
                        </c15:formulaRef>
                      </c:ext>
                    </c:extLst>
                    <c:strCache>
                      <c:ptCount val="1"/>
                      <c:pt idx="0">
                        <c:v>V2, 24°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  <a:prstDash val="dash"/>
                  </a:ln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19050">
                      <a:solidFill>
                        <a:schemeClr val="accent6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speed'!$L$73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speed'!$O$73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36D-4926-ACEC-1652A1C5A5B6}"/>
                  </c:ext>
                </c:extLst>
              </c15:ser>
            </c15:filteredScatterSeries>
          </c:ext>
        </c:extLst>
      </c:scatterChart>
      <c:valAx>
        <c:axId val="105326464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07689088"/>
        <c:crosses val="autoZero"/>
        <c:crossBetween val="midCat"/>
        <c:majorUnit val="0.2"/>
      </c:valAx>
      <c:valAx>
        <c:axId val="107689088"/>
        <c:scaling>
          <c:orientation val="minMax"/>
          <c:max val="5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sz="1400" b="0" i="1" u="none" strike="noStrike" baseline="0">
                    <a:effectLst/>
                  </a:rPr>
                  <a:t>F</a:t>
                </a:r>
                <a:r>
                  <a:rPr lang="en-US" sz="1400" b="0" i="1" u="none" strike="noStrike" baseline="-25000">
                    <a:effectLst/>
                  </a:rPr>
                  <a:t>D</a:t>
                </a:r>
                <a:r>
                  <a:rPr lang="en-US" sz="1400" b="0" i="0" u="none" strike="noStrike" baseline="0"/>
                  <a:t> </a:t>
                </a:r>
                <a:r>
                  <a:rPr lang="en-US" b="0"/>
                  <a:t>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26464"/>
        <c:crosses val="autoZero"/>
        <c:crossBetween val="midCat"/>
        <c:majorUnit val="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166888015138805"/>
          <c:y val="0.18356319286118142"/>
          <c:w val="0.35960935086024293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742186452843252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speed'!$L$16:$L$19</c:f>
              <c:numCache>
                <c:formatCode>General</c:formatCode>
                <c:ptCount val="4"/>
                <c:pt idx="0">
                  <c:v>0.399166519</c:v>
                </c:pt>
                <c:pt idx="1">
                  <c:v>0.80495266099999996</c:v>
                </c:pt>
                <c:pt idx="2">
                  <c:v>1.1953707760000001</c:v>
                </c:pt>
                <c:pt idx="3">
                  <c:v>1.6056720010000001</c:v>
                </c:pt>
              </c:numCache>
            </c:numRef>
          </c:xVal>
          <c:yVal>
            <c:numRef>
              <c:f>'Results vs speed'!$Y$16:$Y$19</c:f>
              <c:numCache>
                <c:formatCode>General</c:formatCode>
                <c:ptCount val="4"/>
                <c:pt idx="0">
                  <c:v>2.5542945502587341E-2</c:v>
                </c:pt>
                <c:pt idx="1">
                  <c:v>3.2671573298939015E-2</c:v>
                </c:pt>
                <c:pt idx="2">
                  <c:v>4.6323059659512451E-2</c:v>
                </c:pt>
                <c:pt idx="3">
                  <c:v>3.9528465429481165E-2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6-44B5-87C0-8952C5016A38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speed'!$L$25:$L$27</c:f>
              <c:numCache>
                <c:formatCode>General</c:formatCode>
                <c:ptCount val="3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</c:numCache>
            </c:numRef>
          </c:xVal>
          <c:yVal>
            <c:numRef>
              <c:f>'Results vs speed'!$Y$25:$Y$27</c:f>
              <c:numCache>
                <c:formatCode>General</c:formatCode>
                <c:ptCount val="3"/>
                <c:pt idx="0">
                  <c:v>5.5478851262144392E-2</c:v>
                </c:pt>
                <c:pt idx="1">
                  <c:v>3.5495051092949058E-2</c:v>
                </c:pt>
                <c:pt idx="2">
                  <c:v>4.8078024268607814E-2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36-44B5-87C0-8952C5016A38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speed'!$Y$30:$Y$32</c:f>
              <c:numCache>
                <c:formatCode>General</c:formatCode>
                <c:ptCount val="3"/>
                <c:pt idx="0">
                  <c:v>8.471944264230551E-3</c:v>
                </c:pt>
                <c:pt idx="1">
                  <c:v>1.6546155207328904E-2</c:v>
                </c:pt>
                <c:pt idx="2">
                  <c:v>3.8723617411839918E-2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36-44B5-87C0-8952C5016A38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speed'!$Y$37:$Y$40</c:f>
              <c:numCache>
                <c:formatCode>General</c:formatCode>
                <c:ptCount val="4"/>
                <c:pt idx="0">
                  <c:v>7.1515402487930362E-3</c:v>
                </c:pt>
                <c:pt idx="1">
                  <c:v>2.718866649002943E-2</c:v>
                </c:pt>
                <c:pt idx="2">
                  <c:v>2.3613930823061697E-2</c:v>
                </c:pt>
                <c:pt idx="3">
                  <c:v>1.9684552264690788E-2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36-44B5-87C0-8952C5016A38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speed'!$Y$42:$Y$47</c:f>
              <c:numCache>
                <c:formatCode>General</c:formatCode>
                <c:ptCount val="6"/>
                <c:pt idx="0">
                  <c:v>8.6814518878018093E-3</c:v>
                </c:pt>
                <c:pt idx="1">
                  <c:v>2.5881302239457962E-2</c:v>
                </c:pt>
                <c:pt idx="2">
                  <c:v>1.8703039765211416E-2</c:v>
                </c:pt>
                <c:pt idx="3">
                  <c:v>1.8640952613595736E-2</c:v>
                </c:pt>
                <c:pt idx="4">
                  <c:v>2.1073655208199451E-2</c:v>
                </c:pt>
                <c:pt idx="5">
                  <c:v>1.9231473421214271E-2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36-44B5-87C0-8952C5016A38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speed'!$Y$49:$Y$52</c:f>
              <c:numCache>
                <c:formatCode>General</c:formatCode>
                <c:ptCount val="4"/>
                <c:pt idx="0">
                  <c:v>5.3993110471940815E-3</c:v>
                </c:pt>
                <c:pt idx="1">
                  <c:v>1.6422833318036806E-2</c:v>
                </c:pt>
                <c:pt idx="2">
                  <c:v>1.4763611258228147E-2</c:v>
                </c:pt>
                <c:pt idx="3">
                  <c:v>1.8128280457891808E-2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F36-44B5-87C0-8952C5016A38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speed'!$Y$58:$Y$60</c:f>
              <c:numCache>
                <c:formatCode>General</c:formatCode>
                <c:ptCount val="3"/>
                <c:pt idx="0">
                  <c:v>8.4457846231607084E-3</c:v>
                </c:pt>
                <c:pt idx="1">
                  <c:v>9.4520207090839931E-3</c:v>
                </c:pt>
                <c:pt idx="2">
                  <c:v>1.5672113664844924E-2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F36-44B5-87C0-8952C5016A38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speed'!$Y$64:$Y$66</c:f>
              <c:numCache>
                <c:formatCode>General</c:formatCode>
                <c:ptCount val="3"/>
                <c:pt idx="0">
                  <c:v>2.6340274272105276E-2</c:v>
                </c:pt>
                <c:pt idx="1">
                  <c:v>4.8145392393202343E-3</c:v>
                </c:pt>
                <c:pt idx="2">
                  <c:v>1.2891047962498016E-2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F36-44B5-87C0-8952C5016A38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speed'!$Y$70:$Y$72</c:f>
              <c:numCache>
                <c:formatCode>General</c:formatCode>
                <c:ptCount val="3"/>
                <c:pt idx="0">
                  <c:v>7.9491866035753585E-3</c:v>
                </c:pt>
                <c:pt idx="1">
                  <c:v>4.8337217021287467E-3</c:v>
                </c:pt>
                <c:pt idx="2">
                  <c:v>5.1397082558576387E-3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F36-44B5-87C0-8952C5016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43008"/>
        <c:axId val="1220619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'Results vs speed'!$P$3</c15:sqref>
                        </c15:formulaRef>
                      </c:ext>
                    </c:extLst>
                    <c:strCache>
                      <c:ptCount val="1"/>
                      <c:pt idx="0">
                        <c:v>U, 4°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marker>
                  <c:symbol val="x"/>
                  <c:size val="7"/>
                  <c:spPr>
                    <a:noFill/>
                    <a:ln w="19050"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'Results vs speed'!$L$20:$L$23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0.40036896100000002</c:v>
                      </c:pt>
                      <c:pt idx="1">
                        <c:v>0.80652782099999998</c:v>
                      </c:pt>
                      <c:pt idx="2">
                        <c:v>1.1985547809999999</c:v>
                      </c:pt>
                      <c:pt idx="3">
                        <c:v>1.605772797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'Results vs speed'!$Y$20:$Y$23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1.4586669696872105E-2</c:v>
                      </c:pt>
                      <c:pt idx="1">
                        <c:v>3.4109655017982216E-2</c:v>
                      </c:pt>
                      <c:pt idx="2">
                        <c:v>4.8958928963862627E-2</c:v>
                      </c:pt>
                      <c:pt idx="3">
                        <c:v>4.1607700025406702E-2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F36-44B5-87C0-8952C5016A38}"/>
                  </c:ext>
                </c:extLst>
              </c15:ser>
            </c15:filteredScatterSeries>
            <c15:filteredScatterSeries>
              <c15:ser>
                <c:idx val="1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speed'!$P$5</c15:sqref>
                        </c15:formulaRef>
                      </c:ext>
                    </c:extLst>
                    <c:strCache>
                      <c:ptCount val="1"/>
                      <c:pt idx="0">
                        <c:v>U, 12°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marker>
                  <c:symbol val="triangle"/>
                  <c:size val="7"/>
                  <c:spPr>
                    <a:noFill/>
                    <a:ln w="19050"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speed'!$L$29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speed'!$Y$29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36-44B5-87C0-8952C5016A38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speed'!$P$7</c15:sqref>
                        </c15:formulaRef>
                      </c:ext>
                    </c:extLst>
                    <c:strCache>
                      <c:ptCount val="1"/>
                      <c:pt idx="0">
                        <c:v>U, 24°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speed'!$L$33:$L$35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0.40077541500000002</c:v>
                      </c:pt>
                      <c:pt idx="1">
                        <c:v>0.80715357399999998</c:v>
                      </c:pt>
                      <c:pt idx="2">
                        <c:v>1.196083969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speed'!$Y$33:$Y$35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1.3293069189155524E-2</c:v>
                      </c:pt>
                      <c:pt idx="1">
                        <c:v>2.7179013507131568E-2</c:v>
                      </c:pt>
                      <c:pt idx="2">
                        <c:v>3.5821992309275248E-2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F36-44B5-87C0-8952C5016A38}"/>
                  </c:ext>
                </c:extLst>
              </c15:ser>
            </c15:filteredScatterSeries>
            <c15:filteredScatterSeries>
              <c15:ser>
                <c:idx val="1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speed'!$Q$3</c15:sqref>
                        </c15:formulaRef>
                      </c:ext>
                    </c:extLst>
                    <c:strCache>
                      <c:ptCount val="1"/>
                      <c:pt idx="0">
                        <c:v>V1, 4°</c:v>
                      </c:pt>
                    </c:strCache>
                  </c:strRef>
                </c:tx>
                <c:spPr>
                  <a:ln>
                    <a:solidFill>
                      <a:srgbClr val="C00000"/>
                    </a:solidFill>
                    <a:prstDash val="sysDot"/>
                  </a:ln>
                </c:spPr>
                <c:marker>
                  <c:symbol val="x"/>
                  <c:size val="7"/>
                  <c:spPr>
                    <a:noFill/>
                    <a:ln w="1905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speed'!$L$41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speed'!$Y$41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F36-44B5-87C0-8952C5016A38}"/>
                  </c:ext>
                </c:extLst>
              </c15:ser>
            </c15:filteredScatterSeries>
            <c15:filteredScatterSeries>
              <c15:ser>
                <c:idx val="16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speed'!$Q$5</c15:sqref>
                        </c15:formulaRef>
                      </c:ext>
                    </c:extLst>
                    <c:strCache>
                      <c:ptCount val="1"/>
                      <c:pt idx="0">
                        <c:v>V1, 12°</c:v>
                      </c:pt>
                    </c:strCache>
                  </c:strRef>
                </c:tx>
                <c:spPr>
                  <a:ln>
                    <a:solidFill>
                      <a:srgbClr val="C00000"/>
                    </a:solidFill>
                    <a:prstDash val="sysDot"/>
                  </a:ln>
                </c:spPr>
                <c:marker>
                  <c:symbol val="triangle"/>
                  <c:size val="7"/>
                  <c:spPr>
                    <a:noFill/>
                    <a:ln w="19050"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speed'!$L$48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speed'!$Y$48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F36-44B5-87C0-8952C5016A38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speed'!$Q$7</c15:sqref>
                        </c15:formulaRef>
                      </c:ext>
                    </c:extLst>
                    <c:strCache>
                      <c:ptCount val="1"/>
                      <c:pt idx="0">
                        <c:v>V1, 24°</c:v>
                      </c:pt>
                    </c:strCache>
                  </c:strRef>
                </c:tx>
                <c:spPr>
                  <a:ln>
                    <a:solidFill>
                      <a:srgbClr val="C00000"/>
                    </a:solidFill>
                    <a:prstDash val="sysDot"/>
                  </a:ln>
                </c:spPr>
                <c:marker>
                  <c:symbol val="circle"/>
                  <c:size val="7"/>
                  <c:spPr>
                    <a:solidFill>
                      <a:srgbClr val="C00000"/>
                    </a:solidFill>
                    <a:ln>
                      <a:solidFill>
                        <a:srgbClr val="C0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speed'!$L$53:$L$56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0.40032908499999997</c:v>
                      </c:pt>
                      <c:pt idx="1">
                        <c:v>0.80901094500000004</c:v>
                      </c:pt>
                      <c:pt idx="2">
                        <c:v>1.003192364</c:v>
                      </c:pt>
                      <c:pt idx="3">
                        <c:v>1.194729685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speed'!$Y$53:$Y$56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1.253371360826851E-2</c:v>
                      </c:pt>
                      <c:pt idx="1">
                        <c:v>1.317496465298975E-2</c:v>
                      </c:pt>
                      <c:pt idx="2">
                        <c:v>1.8025187035923346E-2</c:v>
                      </c:pt>
                      <c:pt idx="3">
                        <c:v>1.9321127858153365E-2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F36-44B5-87C0-8952C5016A38}"/>
                  </c:ext>
                </c:extLst>
              </c15:ser>
            </c15:filteredScatterSeries>
            <c15:filteredScatterSeries>
              <c15:ser>
                <c:idx val="10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speed'!$R$3</c15:sqref>
                        </c15:formulaRef>
                      </c:ext>
                    </c:extLst>
                    <c:strCache>
                      <c:ptCount val="1"/>
                      <c:pt idx="0">
                        <c:v>V2, 4°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  <a:prstDash val="dash"/>
                  </a:ln>
                </c:spPr>
                <c:marker>
                  <c:symbol val="x"/>
                  <c:size val="7"/>
                  <c:spPr>
                    <a:noFill/>
                    <a:ln w="19050">
                      <a:solidFill>
                        <a:schemeClr val="accent6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speed'!$L$61:$L$63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0.399398115</c:v>
                      </c:pt>
                      <c:pt idx="1">
                        <c:v>0.80615512700000003</c:v>
                      </c:pt>
                      <c:pt idx="2">
                        <c:v>1.196628434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speed'!$Y$61:$Y$63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4.0594503522460492E-3</c:v>
                      </c:pt>
                      <c:pt idx="1">
                        <c:v>1.5218237562305186E-2</c:v>
                      </c:pt>
                      <c:pt idx="2">
                        <c:v>1.3924842970088796E-2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F36-44B5-87C0-8952C5016A38}"/>
                  </c:ext>
                </c:extLst>
              </c15:ser>
            </c15:filteredScatterSeries>
            <c15:filteredScatterSeries>
              <c15:ser>
                <c:idx val="13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speed'!$R$5</c15:sqref>
                        </c15:formulaRef>
                      </c:ext>
                    </c:extLst>
                    <c:strCache>
                      <c:ptCount val="1"/>
                      <c:pt idx="0">
                        <c:v>V2, 12°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  <a:prstDash val="dash"/>
                  </a:ln>
                </c:spPr>
                <c:marker>
                  <c:symbol val="triangle"/>
                  <c:size val="7"/>
                  <c:spPr>
                    <a:noFill/>
                    <a:ln w="19050">
                      <a:solidFill>
                        <a:schemeClr val="accent6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speed'!$L$67:$L$69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0.39940424800000002</c:v>
                      </c:pt>
                      <c:pt idx="1">
                        <c:v>0.80926551300000005</c:v>
                      </c:pt>
                      <c:pt idx="2">
                        <c:v>1.1966545070000001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speed'!$Y$67:$Y$69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-2.9691330775944956E-3</c:v>
                      </c:pt>
                      <c:pt idx="1">
                        <c:v>1.7681791172886912E-2</c:v>
                      </c:pt>
                      <c:pt idx="2">
                        <c:v>8.4034971794078803E-3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F36-44B5-87C0-8952C5016A38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speed'!$R$7</c15:sqref>
                        </c15:formulaRef>
                      </c:ext>
                    </c:extLst>
                    <c:strCache>
                      <c:ptCount val="1"/>
                      <c:pt idx="0">
                        <c:v>V2, 24°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  <a:prstDash val="dash"/>
                  </a:ln>
                </c:spPr>
                <c:marker>
                  <c:symbol val="circle"/>
                  <c:size val="7"/>
                  <c:spPr>
                    <a:solidFill>
                      <a:schemeClr val="accent6"/>
                    </a:solidFill>
                    <a:ln w="19050">
                      <a:solidFill>
                        <a:schemeClr val="accent6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speed'!$L$73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'Results vs speed'!$Y$73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F36-44B5-87C0-8952C5016A38}"/>
                  </c:ext>
                </c:extLst>
              </c15:ser>
            </c15:filteredScatterSeries>
          </c:ext>
        </c:extLst>
      </c:scatterChart>
      <c:valAx>
        <c:axId val="122043008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 i="1"/>
                  <a:t>V</a:t>
                </a:r>
                <a:r>
                  <a:rPr lang="en-US" b="0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22061952"/>
        <c:crosses val="autoZero"/>
        <c:crossBetween val="midCat"/>
        <c:majorUnit val="0.2"/>
      </c:valAx>
      <c:valAx>
        <c:axId val="122061952"/>
        <c:scaling>
          <c:orientation val="minMax"/>
          <c:max val="0.1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043008"/>
        <c:crosses val="autoZero"/>
        <c:crossBetween val="midCat"/>
        <c:majorUnit val="5.000000000000001E-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849395710415214"/>
          <c:y val="0.13661842761232915"/>
          <c:w val="0.36106282051267941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yaw'!$P$2</c:f>
              <c:strCache>
                <c:ptCount val="1"/>
                <c:pt idx="0">
                  <c:v>U, 0.4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yaw'!$D$15:$D$19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yaw'!$O$15:$O$19</c:f>
              <c:numCache>
                <c:formatCode>General</c:formatCode>
                <c:ptCount val="5"/>
                <c:pt idx="0">
                  <c:v>8.2277369999999989E-3</c:v>
                </c:pt>
                <c:pt idx="1">
                  <c:v>9.9304519999999993E-2</c:v>
                </c:pt>
                <c:pt idx="2">
                  <c:v>5.9672465000000001E-2</c:v>
                </c:pt>
                <c:pt idx="3">
                  <c:v>0.11927837500000001</c:v>
                </c:pt>
                <c:pt idx="4">
                  <c:v>0.306835264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C-4858-AE01-81078722B1E1}"/>
            </c:ext>
          </c:extLst>
        </c:ser>
        <c:ser>
          <c:idx val="1"/>
          <c:order val="1"/>
          <c:tx>
            <c:strRef>
              <c:f>'Results vs yaw'!$P$3</c:f>
              <c:strCache>
                <c:ptCount val="1"/>
                <c:pt idx="0">
                  <c:v>U, 0.8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yaw'!$D$20:$D$24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yaw'!$O$20:$O$24</c:f>
              <c:numCache>
                <c:formatCode>General</c:formatCode>
                <c:ptCount val="5"/>
                <c:pt idx="0">
                  <c:v>0.51653595299999999</c:v>
                </c:pt>
                <c:pt idx="1">
                  <c:v>0.54670943900000002</c:v>
                </c:pt>
                <c:pt idx="2">
                  <c:v>0.60233237300000009</c:v>
                </c:pt>
                <c:pt idx="3">
                  <c:v>0.48797140699999986</c:v>
                </c:pt>
                <c:pt idx="4">
                  <c:v>1.0403195900000002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BC-4858-AE01-81078722B1E1}"/>
            </c:ext>
          </c:extLst>
        </c:ser>
        <c:ser>
          <c:idx val="2"/>
          <c:order val="2"/>
          <c:tx>
            <c:strRef>
              <c:f>'Results vs yaw'!$P$4</c:f>
              <c:strCache>
                <c:ptCount val="1"/>
                <c:pt idx="0">
                  <c:v>U, 1.2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yaw'!$D$25:$D$29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yaw'!$O$25:$O$29</c:f>
              <c:numCache>
                <c:formatCode>General</c:formatCode>
                <c:ptCount val="5"/>
                <c:pt idx="0">
                  <c:v>1.6150736499999998</c:v>
                </c:pt>
                <c:pt idx="1">
                  <c:v>1.737280025</c:v>
                </c:pt>
                <c:pt idx="2">
                  <c:v>1.8254384689999998</c:v>
                </c:pt>
                <c:pt idx="3">
                  <c:v>2.0054195400000001</c:v>
                </c:pt>
                <c:pt idx="4">
                  <c:v>2.8111068349999999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BC-4858-AE01-81078722B1E1}"/>
            </c:ext>
          </c:extLst>
        </c:ser>
        <c:ser>
          <c:idx val="14"/>
          <c:order val="3"/>
          <c:tx>
            <c:strRef>
              <c:f>'Results vs yaw'!$P$5</c:f>
              <c:strCache>
                <c:ptCount val="1"/>
                <c:pt idx="0">
                  <c:v>U, 1.6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yaw'!$D$30:$D$31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'Results vs yaw'!$O$30:$O$31</c:f>
              <c:numCache>
                <c:formatCode>General</c:formatCode>
                <c:ptCount val="2"/>
                <c:pt idx="0">
                  <c:v>2.4866430589999999</c:v>
                </c:pt>
                <c:pt idx="1">
                  <c:v>2.673215506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BC-4858-AE01-81078722B1E1}"/>
            </c:ext>
          </c:extLst>
        </c:ser>
        <c:ser>
          <c:idx val="5"/>
          <c:order val="4"/>
          <c:tx>
            <c:strRef>
              <c:f>'Results vs yaw'!$Q$2</c:f>
              <c:strCache>
                <c:ptCount val="1"/>
                <c:pt idx="0">
                  <c:v>V1, 0.4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yaw'!$D$33:$D$36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yaw'!$O$33:$O$36</c:f>
              <c:numCache>
                <c:formatCode>General</c:formatCode>
                <c:ptCount val="4"/>
                <c:pt idx="0">
                  <c:v>2.7794197E-2</c:v>
                </c:pt>
                <c:pt idx="1">
                  <c:v>6.2739980000000001E-2</c:v>
                </c:pt>
                <c:pt idx="2">
                  <c:v>0.17309189899999999</c:v>
                </c:pt>
                <c:pt idx="3">
                  <c:v>0.46712446199999996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BC-4858-AE01-81078722B1E1}"/>
            </c:ext>
          </c:extLst>
        </c:ser>
        <c:ser>
          <c:idx val="15"/>
          <c:order val="5"/>
          <c:tx>
            <c:strRef>
              <c:f>'Results vs yaw'!$Q$3</c:f>
              <c:strCache>
                <c:ptCount val="1"/>
                <c:pt idx="0">
                  <c:v>V1, 0.8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yaw'!$D$37:$D$40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yaw'!$O$37:$O$40</c:f>
              <c:numCache>
                <c:formatCode>General</c:formatCode>
                <c:ptCount val="4"/>
                <c:pt idx="0">
                  <c:v>0.43268670799999998</c:v>
                </c:pt>
                <c:pt idx="1">
                  <c:v>0.53100438999999999</c:v>
                </c:pt>
                <c:pt idx="2">
                  <c:v>0.92767938400000005</c:v>
                </c:pt>
                <c:pt idx="3">
                  <c:v>1.8761560489999998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BC-4858-AE01-81078722B1E1}"/>
            </c:ext>
          </c:extLst>
        </c:ser>
        <c:ser>
          <c:idx val="6"/>
          <c:order val="6"/>
          <c:tx>
            <c:strRef>
              <c:f>'Results vs yaw'!$Q$4</c:f>
              <c:strCache>
                <c:ptCount val="1"/>
                <c:pt idx="0">
                  <c:v>V1, 1.2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yaw'!$D$42:$D$45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yaw'!$O$42:$O$45</c:f>
              <c:numCache>
                <c:formatCode>General</c:formatCode>
                <c:ptCount val="4"/>
                <c:pt idx="0">
                  <c:v>0.82467747499999999</c:v>
                </c:pt>
                <c:pt idx="1">
                  <c:v>0.95143992700000002</c:v>
                </c:pt>
                <c:pt idx="2">
                  <c:v>2.0713320180000001</c:v>
                </c:pt>
                <c:pt idx="3">
                  <c:v>3.9354020369999994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BC-4858-AE01-81078722B1E1}"/>
            </c:ext>
          </c:extLst>
        </c:ser>
        <c:ser>
          <c:idx val="16"/>
          <c:order val="7"/>
          <c:tx>
            <c:strRef>
              <c:f>'Results vs yaw'!$Q$5</c:f>
              <c:strCache>
                <c:ptCount val="1"/>
                <c:pt idx="0">
                  <c:v>V1, 1.6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yaw'!$D$46:$D$48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'Results vs yaw'!$O$46:$O$48</c:f>
              <c:numCache>
                <c:formatCode>General</c:formatCode>
                <c:ptCount val="3"/>
                <c:pt idx="0">
                  <c:v>1.2398563490000001</c:v>
                </c:pt>
                <c:pt idx="1">
                  <c:v>1.6372181589999999</c:v>
                </c:pt>
                <c:pt idx="2">
                  <c:v>3.5402592590000004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BC-4858-AE01-81078722B1E1}"/>
            </c:ext>
          </c:extLst>
        </c:ser>
        <c:ser>
          <c:idx val="9"/>
          <c:order val="8"/>
          <c:tx>
            <c:strRef>
              <c:f>'Results vs yaw'!$R$2</c:f>
              <c:strCache>
                <c:ptCount val="1"/>
                <c:pt idx="0">
                  <c:v>V2, 0.4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yaw'!$D$50:$D$54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yaw'!$O$50:$O$54</c:f>
              <c:numCache>
                <c:formatCode>General</c:formatCode>
                <c:ptCount val="5"/>
                <c:pt idx="0">
                  <c:v>3.3049399E-2</c:v>
                </c:pt>
                <c:pt idx="1">
                  <c:v>2.2953411E-2</c:v>
                </c:pt>
                <c:pt idx="2">
                  <c:v>0.136457726</c:v>
                </c:pt>
                <c:pt idx="3">
                  <c:v>9.3173092000000013E-2</c:v>
                </c:pt>
                <c:pt idx="4">
                  <c:v>0.24446905000000002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BC-4858-AE01-81078722B1E1}"/>
            </c:ext>
          </c:extLst>
        </c:ser>
        <c:ser>
          <c:idx val="10"/>
          <c:order val="9"/>
          <c:tx>
            <c:strRef>
              <c:f>'Results vs yaw'!$R$3</c:f>
              <c:strCache>
                <c:ptCount val="1"/>
                <c:pt idx="0">
                  <c:v>V2, 0.8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yaw'!$D$55:$D$59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yaw'!$O$55:$O$59</c:f>
              <c:numCache>
                <c:formatCode>General</c:formatCode>
                <c:ptCount val="5"/>
                <c:pt idx="0">
                  <c:v>0.150880187</c:v>
                </c:pt>
                <c:pt idx="1">
                  <c:v>0.27120161000000004</c:v>
                </c:pt>
                <c:pt idx="2">
                  <c:v>0.22767566100000003</c:v>
                </c:pt>
                <c:pt idx="3">
                  <c:v>0.68920274799999992</c:v>
                </c:pt>
                <c:pt idx="4">
                  <c:v>0.93636077299999987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BC-4858-AE01-81078722B1E1}"/>
            </c:ext>
          </c:extLst>
        </c:ser>
        <c:ser>
          <c:idx val="11"/>
          <c:order val="10"/>
          <c:tx>
            <c:strRef>
              <c:f>'Results vs yaw'!$R$4</c:f>
              <c:strCache>
                <c:ptCount val="1"/>
                <c:pt idx="0">
                  <c:v>V2, 1.2 m/s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yaw'!$D$60:$D$64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yaw'!$O$60:$O$64</c:f>
              <c:numCache>
                <c:formatCode>General</c:formatCode>
                <c:ptCount val="5"/>
                <c:pt idx="0">
                  <c:v>0.54744192999999997</c:v>
                </c:pt>
                <c:pt idx="1">
                  <c:v>0.55746650600000003</c:v>
                </c:pt>
                <c:pt idx="2">
                  <c:v>0.78753594500000013</c:v>
                </c:pt>
                <c:pt idx="3">
                  <c:v>1.2342780019999999</c:v>
                </c:pt>
                <c:pt idx="4">
                  <c:v>2.0429319759999998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BC-4858-AE01-81078722B1E1}"/>
            </c:ext>
          </c:extLst>
        </c:ser>
        <c:ser>
          <c:idx val="3"/>
          <c:order val="11"/>
          <c:tx>
            <c:strRef>
              <c:f>'Results vs yaw'!$R$5</c:f>
              <c:strCache>
                <c:ptCount val="1"/>
                <c:pt idx="0">
                  <c:v>V2, 1.6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yaw'!$D$65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yaw'!$O$65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BBC-4858-AE01-81078722B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82464"/>
        <c:axId val="122784768"/>
      </c:scatterChart>
      <c:valAx>
        <c:axId val="122782464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NZ" sz="1400" b="0" i="0" u="none" strike="noStrike" baseline="0">
                    <a:effectLst/>
                  </a:rPr>
                  <a:t>𝜆</a:t>
                </a:r>
                <a:r>
                  <a:rPr lang="en-US" b="0"/>
                  <a:t> [deg]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2784768"/>
        <c:crosses val="autoZero"/>
        <c:crossBetween val="midCat"/>
        <c:majorUnit val="4"/>
      </c:valAx>
      <c:valAx>
        <c:axId val="122784768"/>
        <c:scaling>
          <c:orientation val="minMax"/>
          <c:max val="4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sz="1400" b="0" i="1" u="none" strike="noStrike" baseline="0">
                    <a:effectLst/>
                  </a:rPr>
                  <a:t>F</a:t>
                </a:r>
                <a:r>
                  <a:rPr lang="en-US" sz="1400" b="0" i="1" u="none" strike="noStrike" baseline="-25000">
                    <a:effectLst/>
                  </a:rPr>
                  <a:t>D</a:t>
                </a:r>
                <a:r>
                  <a:rPr lang="en-US" b="0"/>
                  <a:t>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82464"/>
        <c:crosses val="autoZero"/>
        <c:crossBetween val="midCat"/>
        <c:majorUnit val="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636253626191464"/>
          <c:y val="0.75666038487410026"/>
          <c:w val="0.65197513468711144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yaw'!$P$2</c:f>
              <c:strCache>
                <c:ptCount val="1"/>
                <c:pt idx="0">
                  <c:v>U, 0.4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yaw'!$D$15:$D$19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yaw'!$P$15:$P$19</c:f>
              <c:numCache>
                <c:formatCode>General</c:formatCode>
                <c:ptCount val="5"/>
                <c:pt idx="0">
                  <c:v>5.1265825000000001E-2</c:v>
                </c:pt>
                <c:pt idx="1">
                  <c:v>-2.7159804000000003E-2</c:v>
                </c:pt>
                <c:pt idx="2">
                  <c:v>3.5489809999999997E-2</c:v>
                </c:pt>
                <c:pt idx="3">
                  <c:v>0.29648214899999997</c:v>
                </c:pt>
                <c:pt idx="4">
                  <c:v>0.56107661600000003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2-415F-8135-B21C3376D0A7}"/>
            </c:ext>
          </c:extLst>
        </c:ser>
        <c:ser>
          <c:idx val="1"/>
          <c:order val="1"/>
          <c:tx>
            <c:strRef>
              <c:f>'Results vs yaw'!$P$3</c:f>
              <c:strCache>
                <c:ptCount val="1"/>
                <c:pt idx="0">
                  <c:v>U, 0.8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yaw'!$D$20:$D$24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yaw'!$P$20:$P$24</c:f>
              <c:numCache>
                <c:formatCode>General</c:formatCode>
                <c:ptCount val="5"/>
                <c:pt idx="0">
                  <c:v>-3.4391373000000003E-2</c:v>
                </c:pt>
                <c:pt idx="1">
                  <c:v>5.7243871000000002E-2</c:v>
                </c:pt>
                <c:pt idx="2">
                  <c:v>0.21815929199999995</c:v>
                </c:pt>
                <c:pt idx="3">
                  <c:v>0.74368450399999997</c:v>
                </c:pt>
                <c:pt idx="4">
                  <c:v>1.2743562690000001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2-415F-8135-B21C3376D0A7}"/>
            </c:ext>
          </c:extLst>
        </c:ser>
        <c:ser>
          <c:idx val="2"/>
          <c:order val="2"/>
          <c:tx>
            <c:strRef>
              <c:f>'Results vs yaw'!$P$4</c:f>
              <c:strCache>
                <c:ptCount val="1"/>
                <c:pt idx="0">
                  <c:v>U, 1.2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yaw'!$D$25:$D$29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yaw'!$P$25:$P$29</c:f>
              <c:numCache>
                <c:formatCode>General</c:formatCode>
                <c:ptCount val="5"/>
                <c:pt idx="0">
                  <c:v>-0.18980650200000002</c:v>
                </c:pt>
                <c:pt idx="1">
                  <c:v>0.24324865299999993</c:v>
                </c:pt>
                <c:pt idx="2">
                  <c:v>0.97098647100000002</c:v>
                </c:pt>
                <c:pt idx="3">
                  <c:v>2.0887670209999998</c:v>
                </c:pt>
                <c:pt idx="4">
                  <c:v>3.239525564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72-415F-8135-B21C3376D0A7}"/>
            </c:ext>
          </c:extLst>
        </c:ser>
        <c:ser>
          <c:idx val="14"/>
          <c:order val="3"/>
          <c:tx>
            <c:strRef>
              <c:f>'Results vs yaw'!$P$5</c:f>
              <c:strCache>
                <c:ptCount val="1"/>
                <c:pt idx="0">
                  <c:v>U, 1.6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yaw'!$D$30:$D$31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'Results vs yaw'!$P$30:$P$31</c:f>
              <c:numCache>
                <c:formatCode>General</c:formatCode>
                <c:ptCount val="2"/>
                <c:pt idx="0">
                  <c:v>-0.33239351500000003</c:v>
                </c:pt>
                <c:pt idx="1">
                  <c:v>0.70147218500000008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72-415F-8135-B21C3376D0A7}"/>
            </c:ext>
          </c:extLst>
        </c:ser>
        <c:ser>
          <c:idx val="5"/>
          <c:order val="4"/>
          <c:tx>
            <c:strRef>
              <c:f>'Results vs yaw'!$Q$2</c:f>
              <c:strCache>
                <c:ptCount val="1"/>
                <c:pt idx="0">
                  <c:v>V1, 0.4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yaw'!$D$33:$D$36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yaw'!$P$33:$P$36</c:f>
              <c:numCache>
                <c:formatCode>General</c:formatCode>
                <c:ptCount val="4"/>
                <c:pt idx="0">
                  <c:v>1.8148468000000001E-2</c:v>
                </c:pt>
                <c:pt idx="1">
                  <c:v>0.202492282</c:v>
                </c:pt>
                <c:pt idx="2">
                  <c:v>0.52700580600000002</c:v>
                </c:pt>
                <c:pt idx="3">
                  <c:v>0.92867773900000006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72-415F-8135-B21C3376D0A7}"/>
            </c:ext>
          </c:extLst>
        </c:ser>
        <c:ser>
          <c:idx val="15"/>
          <c:order val="5"/>
          <c:tx>
            <c:strRef>
              <c:f>'Results vs yaw'!$Q$3</c:f>
              <c:strCache>
                <c:ptCount val="1"/>
                <c:pt idx="0">
                  <c:v>V1, 0.8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yaw'!$D$37:$D$40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yaw'!$P$37:$P$40</c:f>
              <c:numCache>
                <c:formatCode>General</c:formatCode>
                <c:ptCount val="4"/>
                <c:pt idx="0">
                  <c:v>4.5955953999999993E-2</c:v>
                </c:pt>
                <c:pt idx="1">
                  <c:v>0.80362217400000002</c:v>
                </c:pt>
                <c:pt idx="2">
                  <c:v>2.2809337119999999</c:v>
                </c:pt>
                <c:pt idx="3">
                  <c:v>3.6966246500000004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72-415F-8135-B21C3376D0A7}"/>
            </c:ext>
          </c:extLst>
        </c:ser>
        <c:ser>
          <c:idx val="6"/>
          <c:order val="6"/>
          <c:tx>
            <c:strRef>
              <c:f>'Results vs yaw'!$Q$4</c:f>
              <c:strCache>
                <c:ptCount val="1"/>
                <c:pt idx="0">
                  <c:v>V1, 1.2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yaw'!$D$42:$D$45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yaw'!$P$42:$P$45</c:f>
              <c:numCache>
                <c:formatCode>General</c:formatCode>
                <c:ptCount val="4"/>
                <c:pt idx="0">
                  <c:v>0.11392364299999999</c:v>
                </c:pt>
                <c:pt idx="1">
                  <c:v>2.0535953080000002</c:v>
                </c:pt>
                <c:pt idx="2">
                  <c:v>5.3482779630000001</c:v>
                </c:pt>
                <c:pt idx="3">
                  <c:v>7.1846280250000003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72-415F-8135-B21C3376D0A7}"/>
            </c:ext>
          </c:extLst>
        </c:ser>
        <c:ser>
          <c:idx val="16"/>
          <c:order val="7"/>
          <c:tx>
            <c:strRef>
              <c:f>'Results vs yaw'!$Q$5</c:f>
              <c:strCache>
                <c:ptCount val="1"/>
                <c:pt idx="0">
                  <c:v>V1, 1.6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yaw'!$D$46:$D$48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'Results vs yaw'!$P$46:$P$48</c:f>
              <c:numCache>
                <c:formatCode>General</c:formatCode>
                <c:ptCount val="3"/>
                <c:pt idx="0">
                  <c:v>0.179319178</c:v>
                </c:pt>
                <c:pt idx="1">
                  <c:v>2.9793587339999998</c:v>
                </c:pt>
                <c:pt idx="2">
                  <c:v>8.2081412100000009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72-415F-8135-B21C3376D0A7}"/>
            </c:ext>
          </c:extLst>
        </c:ser>
        <c:ser>
          <c:idx val="9"/>
          <c:order val="8"/>
          <c:tx>
            <c:strRef>
              <c:f>'Results vs yaw'!$R$2</c:f>
              <c:strCache>
                <c:ptCount val="1"/>
                <c:pt idx="0">
                  <c:v>V2, 0.4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yaw'!$D$50:$D$54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yaw'!$P$50:$P$54</c:f>
              <c:numCache>
                <c:formatCode>General</c:formatCode>
                <c:ptCount val="5"/>
                <c:pt idx="0">
                  <c:v>7.151359999999999E-4</c:v>
                </c:pt>
                <c:pt idx="1">
                  <c:v>0.101740539</c:v>
                </c:pt>
                <c:pt idx="2">
                  <c:v>0.23400464100000001</c:v>
                </c:pt>
                <c:pt idx="3">
                  <c:v>0.49393100000000001</c:v>
                </c:pt>
                <c:pt idx="4">
                  <c:v>0.7395220520000001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72-415F-8135-B21C3376D0A7}"/>
            </c:ext>
          </c:extLst>
        </c:ser>
        <c:ser>
          <c:idx val="10"/>
          <c:order val="9"/>
          <c:tx>
            <c:strRef>
              <c:f>'Results vs yaw'!$R$3</c:f>
              <c:strCache>
                <c:ptCount val="1"/>
                <c:pt idx="0">
                  <c:v>V2, 0.8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yaw'!$D$55:$D$59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yaw'!$P$55:$P$59</c:f>
              <c:numCache>
                <c:formatCode>General</c:formatCode>
                <c:ptCount val="5"/>
                <c:pt idx="0">
                  <c:v>3.6282541000000001E-2</c:v>
                </c:pt>
                <c:pt idx="1">
                  <c:v>0.418914909</c:v>
                </c:pt>
                <c:pt idx="2">
                  <c:v>1.0670078889999999</c:v>
                </c:pt>
                <c:pt idx="3">
                  <c:v>1.8834446790000001</c:v>
                </c:pt>
                <c:pt idx="4">
                  <c:v>2.9859152459999998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72-415F-8135-B21C3376D0A7}"/>
            </c:ext>
          </c:extLst>
        </c:ser>
        <c:ser>
          <c:idx val="11"/>
          <c:order val="10"/>
          <c:tx>
            <c:strRef>
              <c:f>'Results vs yaw'!$R$4</c:f>
              <c:strCache>
                <c:ptCount val="1"/>
                <c:pt idx="0">
                  <c:v>V2, 1.2 m/s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yaw'!$D$60:$D$64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yaw'!$P$60:$P$64</c:f>
              <c:numCache>
                <c:formatCode>General</c:formatCode>
                <c:ptCount val="5"/>
                <c:pt idx="0">
                  <c:v>0.11643350400000001</c:v>
                </c:pt>
                <c:pt idx="1">
                  <c:v>0.99762362900000001</c:v>
                </c:pt>
                <c:pt idx="2">
                  <c:v>2.382503238</c:v>
                </c:pt>
                <c:pt idx="3">
                  <c:v>4.3945813600000001</c:v>
                </c:pt>
                <c:pt idx="4">
                  <c:v>6.4728617480000006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172-415F-8135-B21C3376D0A7}"/>
            </c:ext>
          </c:extLst>
        </c:ser>
        <c:ser>
          <c:idx val="3"/>
          <c:order val="11"/>
          <c:tx>
            <c:strRef>
              <c:f>'Results vs yaw'!$R$5</c:f>
              <c:strCache>
                <c:ptCount val="1"/>
                <c:pt idx="0">
                  <c:v>V2, 1.6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yaw'!$D$65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yaw'!$P$65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72-415F-8135-B21C3376D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75904"/>
        <c:axId val="122878208"/>
      </c:scatterChart>
      <c:valAx>
        <c:axId val="122875904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NZ" sz="1400" b="0" i="0" u="none" strike="noStrike" baseline="0">
                    <a:effectLst/>
                  </a:rPr>
                  <a:t>𝜆</a:t>
                </a:r>
                <a:r>
                  <a:rPr lang="en-US" b="0"/>
                  <a:t> [deg]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2878208"/>
        <c:crosses val="autoZero"/>
        <c:crossBetween val="midCat"/>
        <c:majorUnit val="4"/>
      </c:valAx>
      <c:valAx>
        <c:axId val="122878208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sz="1400" b="0" i="1" u="none" strike="noStrike" baseline="0">
                    <a:effectLst/>
                  </a:rPr>
                  <a:t>F</a:t>
                </a:r>
                <a:r>
                  <a:rPr lang="en-US" sz="1400" b="0" i="1" u="none" strike="noStrike" baseline="-25000">
                    <a:effectLst/>
                  </a:rPr>
                  <a:t>L</a:t>
                </a:r>
                <a:r>
                  <a:rPr lang="en-US" b="0"/>
                  <a:t>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875904"/>
        <c:crosses val="autoZero"/>
        <c:crossBetween val="midCat"/>
        <c:majorUnit val="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636253626191464"/>
          <c:y val="0.75666038487410026"/>
          <c:w val="0.65197513468711144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yaw'!$P$2</c:f>
              <c:strCache>
                <c:ptCount val="1"/>
                <c:pt idx="0">
                  <c:v>U, 0.4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yaw'!$D$16:$D$19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yaw'!$W$16:$W$19</c:f>
              <c:numCache>
                <c:formatCode>General</c:formatCode>
                <c:ptCount val="4"/>
                <c:pt idx="0">
                  <c:v>2.5542945502587341E-2</c:v>
                </c:pt>
                <c:pt idx="1">
                  <c:v>1.5256796379051557E-2</c:v>
                </c:pt>
                <c:pt idx="2">
                  <c:v>3.0681148310158401E-2</c:v>
                </c:pt>
                <c:pt idx="3">
                  <c:v>7.8291263049068457E-2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C-4E62-A71A-39C6A221CFF0}"/>
            </c:ext>
          </c:extLst>
        </c:ser>
        <c:ser>
          <c:idx val="1"/>
          <c:order val="1"/>
          <c:tx>
            <c:strRef>
              <c:f>'Results vs yaw'!$P$3</c:f>
              <c:strCache>
                <c:ptCount val="1"/>
                <c:pt idx="0">
                  <c:v>U, 0.8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yaw'!$D$20:$D$24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yaw'!$W$20:$W$24</c:f>
              <c:numCache>
                <c:formatCode>General</c:formatCode>
                <c:ptCount val="5"/>
                <c:pt idx="0">
                  <c:v>3.2671573298939015E-2</c:v>
                </c:pt>
                <c:pt idx="1">
                  <c:v>3.4445146801508147E-2</c:v>
                </c:pt>
                <c:pt idx="2">
                  <c:v>3.7766283633550071E-2</c:v>
                </c:pt>
                <c:pt idx="3">
                  <c:v>3.0574145360764287E-2</c:v>
                </c:pt>
                <c:pt idx="4">
                  <c:v>6.5443211307168042E-2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CC-4E62-A71A-39C6A221CFF0}"/>
            </c:ext>
          </c:extLst>
        </c:ser>
        <c:ser>
          <c:idx val="2"/>
          <c:order val="2"/>
          <c:tx>
            <c:strRef>
              <c:f>'Results vs yaw'!$P$4</c:f>
              <c:strCache>
                <c:ptCount val="1"/>
                <c:pt idx="0">
                  <c:v>U, 1.2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yaw'!$D$25:$D$29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yaw'!$W$25:$W$29</c:f>
              <c:numCache>
                <c:formatCode>General</c:formatCode>
                <c:ptCount val="5"/>
                <c:pt idx="0">
                  <c:v>4.6323059659512451E-2</c:v>
                </c:pt>
                <c:pt idx="1">
                  <c:v>4.9563757405727639E-2</c:v>
                </c:pt>
                <c:pt idx="2">
                  <c:v>5.2473225116269423E-2</c:v>
                </c:pt>
                <c:pt idx="3">
                  <c:v>5.7439074858321421E-2</c:v>
                </c:pt>
                <c:pt idx="4">
                  <c:v>8.0531202773615113E-2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C-4E62-A71A-39C6A221CFF0}"/>
            </c:ext>
          </c:extLst>
        </c:ser>
        <c:ser>
          <c:idx val="14"/>
          <c:order val="3"/>
          <c:tx>
            <c:strRef>
              <c:f>'Results vs yaw'!$P$5</c:f>
              <c:strCache>
                <c:ptCount val="1"/>
                <c:pt idx="0">
                  <c:v>U, 1.6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yaw'!$D$30:$D$31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'Results vs yaw'!$W$30:$W$31</c:f>
              <c:numCache>
                <c:formatCode>General</c:formatCode>
                <c:ptCount val="2"/>
                <c:pt idx="0">
                  <c:v>3.9528465429481165E-2</c:v>
                </c:pt>
                <c:pt idx="1">
                  <c:v>4.248894547139271E-2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C-4E62-A71A-39C6A221CFF0}"/>
            </c:ext>
          </c:extLst>
        </c:ser>
        <c:ser>
          <c:idx val="4"/>
          <c:order val="4"/>
          <c:tx>
            <c:v>U CFD</c:v>
          </c:tx>
          <c:spPr>
            <a:ln w="50800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'Results vs yaw'!$P$115:$X$115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xVal>
          <c:yVal>
            <c:numRef>
              <c:f>'Results vs yaw'!$P$118:$X$118</c:f>
              <c:numCache>
                <c:formatCode>0.000</c:formatCode>
                <c:ptCount val="9"/>
                <c:pt idx="0">
                  <c:v>1.03E-2</c:v>
                </c:pt>
                <c:pt idx="1">
                  <c:v>1.1117500000000001E-2</c:v>
                </c:pt>
                <c:pt idx="2">
                  <c:v>1.2880000000000001E-2</c:v>
                </c:pt>
                <c:pt idx="3">
                  <c:v>1.5587500000000001E-2</c:v>
                </c:pt>
                <c:pt idx="4">
                  <c:v>1.924E-2</c:v>
                </c:pt>
                <c:pt idx="5">
                  <c:v>2.3837500000000001E-2</c:v>
                </c:pt>
                <c:pt idx="6">
                  <c:v>2.938E-2</c:v>
                </c:pt>
                <c:pt idx="7">
                  <c:v>3.5867499999999997E-2</c:v>
                </c:pt>
                <c:pt idx="8">
                  <c:v>4.3300000000000005E-2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1CC-4E62-A71A-39C6A221CFF0}"/>
            </c:ext>
          </c:extLst>
        </c:ser>
        <c:ser>
          <c:idx val="5"/>
          <c:order val="5"/>
          <c:tx>
            <c:strRef>
              <c:f>'Results vs yaw'!$Q$2</c:f>
              <c:strCache>
                <c:ptCount val="1"/>
                <c:pt idx="0">
                  <c:v>V1, 0.4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yaw'!$D$33:$D$36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yaw'!$W$33:$W$36</c:f>
              <c:numCache>
                <c:formatCode>General</c:formatCode>
                <c:ptCount val="4"/>
                <c:pt idx="0">
                  <c:v>7.1515402487930362E-3</c:v>
                </c:pt>
                <c:pt idx="1">
                  <c:v>1.6044403235122417E-2</c:v>
                </c:pt>
                <c:pt idx="2">
                  <c:v>4.4242162903788206E-2</c:v>
                </c:pt>
                <c:pt idx="3">
                  <c:v>0.11945614529213117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C-4E62-A71A-39C6A221CFF0}"/>
            </c:ext>
          </c:extLst>
        </c:ser>
        <c:ser>
          <c:idx val="15"/>
          <c:order val="6"/>
          <c:tx>
            <c:strRef>
              <c:f>'Results vs yaw'!$Q$3</c:f>
              <c:strCache>
                <c:ptCount val="1"/>
                <c:pt idx="0">
                  <c:v>V1, 0.8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yaw'!$D$37:$D$40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yaw'!$W$37:$W$40</c:f>
              <c:numCache>
                <c:formatCode>General</c:formatCode>
                <c:ptCount val="4"/>
                <c:pt idx="0">
                  <c:v>2.718866649002943E-2</c:v>
                </c:pt>
                <c:pt idx="1">
                  <c:v>3.3196330690607713E-2</c:v>
                </c:pt>
                <c:pt idx="2">
                  <c:v>5.7921153700757039E-2</c:v>
                </c:pt>
                <c:pt idx="3">
                  <c:v>0.11748173110179608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C-4E62-A71A-39C6A221CFF0}"/>
            </c:ext>
          </c:extLst>
        </c:ser>
        <c:ser>
          <c:idx val="6"/>
          <c:order val="7"/>
          <c:tx>
            <c:strRef>
              <c:f>'Results vs yaw'!$Q$4</c:f>
              <c:strCache>
                <c:ptCount val="1"/>
                <c:pt idx="0">
                  <c:v>V1, 1.2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yaw'!$D$42:$D$45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yaw'!$W$42:$W$45</c:f>
              <c:numCache>
                <c:formatCode>General</c:formatCode>
                <c:ptCount val="4"/>
                <c:pt idx="0">
                  <c:v>2.3613930823061697E-2</c:v>
                </c:pt>
                <c:pt idx="1">
                  <c:v>2.7110735857634509E-2</c:v>
                </c:pt>
                <c:pt idx="2">
                  <c:v>5.9160244858655661E-2</c:v>
                </c:pt>
                <c:pt idx="3">
                  <c:v>0.11299519359940341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CC-4E62-A71A-39C6A221CFF0}"/>
            </c:ext>
          </c:extLst>
        </c:ser>
        <c:ser>
          <c:idx val="16"/>
          <c:order val="8"/>
          <c:tx>
            <c:strRef>
              <c:f>'Results vs yaw'!$Q$5</c:f>
              <c:strCache>
                <c:ptCount val="1"/>
                <c:pt idx="0">
                  <c:v>V1, 1.6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yaw'!$D$46:$D$48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'Results vs yaw'!$W$46:$W$48</c:f>
              <c:numCache>
                <c:formatCode>General</c:formatCode>
                <c:ptCount val="3"/>
                <c:pt idx="0">
                  <c:v>1.9684552264690788E-2</c:v>
                </c:pt>
                <c:pt idx="1">
                  <c:v>2.6094081613614636E-2</c:v>
                </c:pt>
                <c:pt idx="2">
                  <c:v>5.6265355989392668E-2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CC-4E62-A71A-39C6A221CFF0}"/>
            </c:ext>
          </c:extLst>
        </c:ser>
        <c:ser>
          <c:idx val="7"/>
          <c:order val="9"/>
          <c:tx>
            <c:v>V1 CFD</c:v>
          </c:tx>
          <c:spPr>
            <a:ln w="50800">
              <a:solidFill>
                <a:schemeClr val="accent3"/>
              </a:solidFill>
              <a:prstDash val="lgDashDot"/>
            </a:ln>
          </c:spPr>
          <c:marker>
            <c:symbol val="none"/>
          </c:marker>
          <c:xVal>
            <c:numRef>
              <c:f>'Results vs yaw'!$P$107:$X$107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xVal>
          <c:yVal>
            <c:numRef>
              <c:f>'Results vs yaw'!$P$110:$X$110</c:f>
              <c:numCache>
                <c:formatCode>0.000</c:formatCode>
                <c:ptCount val="9"/>
                <c:pt idx="0">
                  <c:v>1.0699999999999999E-2</c:v>
                </c:pt>
                <c:pt idx="1">
                  <c:v>9.4069999999999987E-3</c:v>
                </c:pt>
                <c:pt idx="2">
                  <c:v>1.2307999999999999E-2</c:v>
                </c:pt>
                <c:pt idx="3">
                  <c:v>1.9403000000000004E-2</c:v>
                </c:pt>
                <c:pt idx="4">
                  <c:v>3.0691999999999997E-2</c:v>
                </c:pt>
                <c:pt idx="5">
                  <c:v>4.6175000000000001E-2</c:v>
                </c:pt>
                <c:pt idx="6">
                  <c:v>6.5852000000000008E-2</c:v>
                </c:pt>
                <c:pt idx="7">
                  <c:v>8.9722999999999997E-2</c:v>
                </c:pt>
                <c:pt idx="8">
                  <c:v>0.11778799999999999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1CC-4E62-A71A-39C6A221CFF0}"/>
            </c:ext>
          </c:extLst>
        </c:ser>
        <c:ser>
          <c:idx val="9"/>
          <c:order val="10"/>
          <c:tx>
            <c:strRef>
              <c:f>'Results vs yaw'!$R$2</c:f>
              <c:strCache>
                <c:ptCount val="1"/>
                <c:pt idx="0">
                  <c:v>V2, 0.4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yaw'!$D$50:$D$54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yaw'!$W$50:$W$54</c:f>
              <c:numCache>
                <c:formatCode>General</c:formatCode>
                <c:ptCount val="5"/>
                <c:pt idx="0">
                  <c:v>8.4457846231607084E-3</c:v>
                </c:pt>
                <c:pt idx="1">
                  <c:v>5.8971935944810107E-3</c:v>
                </c:pt>
                <c:pt idx="2">
                  <c:v>3.5045276993580336E-2</c:v>
                </c:pt>
                <c:pt idx="3">
                  <c:v>2.3937308800600323E-2</c:v>
                </c:pt>
                <c:pt idx="4">
                  <c:v>6.2368518272968056E-2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1CC-4E62-A71A-39C6A221CFF0}"/>
            </c:ext>
          </c:extLst>
        </c:ser>
        <c:ser>
          <c:idx val="10"/>
          <c:order val="11"/>
          <c:tx>
            <c:strRef>
              <c:f>'Results vs yaw'!$R$3</c:f>
              <c:strCache>
                <c:ptCount val="1"/>
                <c:pt idx="0">
                  <c:v>V2, 0.8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yaw'!$D$55:$D$59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yaw'!$W$55:$W$59</c:f>
              <c:numCache>
                <c:formatCode>General</c:formatCode>
                <c:ptCount val="5"/>
                <c:pt idx="0">
                  <c:v>9.4520207090839931E-3</c:v>
                </c:pt>
                <c:pt idx="1">
                  <c:v>1.7102720420880384E-2</c:v>
                </c:pt>
                <c:pt idx="2">
                  <c:v>1.4242946469015361E-2</c:v>
                </c:pt>
                <c:pt idx="3">
                  <c:v>4.3129567944566648E-2</c:v>
                </c:pt>
                <c:pt idx="4">
                  <c:v>5.8736401763915161E-2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1CC-4E62-A71A-39C6A221CFF0}"/>
            </c:ext>
          </c:extLst>
        </c:ser>
        <c:ser>
          <c:idx val="11"/>
          <c:order val="12"/>
          <c:tx>
            <c:strRef>
              <c:f>'Results vs yaw'!$R$4</c:f>
              <c:strCache>
                <c:ptCount val="1"/>
                <c:pt idx="0">
                  <c:v>V2, 1.2 m/s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yaw'!$D$60:$D$64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yaw'!$W$60:$W$64</c:f>
              <c:numCache>
                <c:formatCode>General</c:formatCode>
                <c:ptCount val="5"/>
                <c:pt idx="0">
                  <c:v>1.5672113664844924E-2</c:v>
                </c:pt>
                <c:pt idx="1">
                  <c:v>1.5955496248746145E-2</c:v>
                </c:pt>
                <c:pt idx="2">
                  <c:v>2.2646352566006406E-2</c:v>
                </c:pt>
                <c:pt idx="3">
                  <c:v>3.5325279014754601E-2</c:v>
                </c:pt>
                <c:pt idx="4">
                  <c:v>5.8453979969504459E-2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1CC-4E62-A71A-39C6A221CFF0}"/>
            </c:ext>
          </c:extLst>
        </c:ser>
        <c:ser>
          <c:idx val="3"/>
          <c:order val="13"/>
          <c:tx>
            <c:strRef>
              <c:f>'Results vs yaw'!$R$5</c:f>
              <c:strCache>
                <c:ptCount val="1"/>
                <c:pt idx="0">
                  <c:v>V2, 1.6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yaw'!$D$65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yaw'!$W$65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1CC-4E62-A71A-39C6A221CFF0}"/>
            </c:ext>
          </c:extLst>
        </c:ser>
        <c:ser>
          <c:idx val="8"/>
          <c:order val="14"/>
          <c:tx>
            <c:v>V2 CFD</c:v>
          </c:tx>
          <c:spPr>
            <a:ln w="50800">
              <a:solidFill>
                <a:schemeClr val="accent4"/>
              </a:solidFill>
              <a:prstDash val="lgDashDotDot"/>
            </a:ln>
          </c:spPr>
          <c:marker>
            <c:symbol val="none"/>
          </c:marker>
          <c:xVal>
            <c:numRef>
              <c:f>'Results vs yaw'!$P$99:$X$99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xVal>
          <c:yVal>
            <c:numRef>
              <c:f>'Results vs yaw'!$P$102:$X$102</c:f>
              <c:numCache>
                <c:formatCode>0.000</c:formatCode>
                <c:ptCount val="9"/>
                <c:pt idx="0">
                  <c:v>6.3800000000000003E-3</c:v>
                </c:pt>
                <c:pt idx="1">
                  <c:v>6.8539999999999998E-3</c:v>
                </c:pt>
                <c:pt idx="2">
                  <c:v>1.1774E-2</c:v>
                </c:pt>
                <c:pt idx="3">
                  <c:v>2.1139999999999999E-2</c:v>
                </c:pt>
                <c:pt idx="4">
                  <c:v>3.4951999999999997E-2</c:v>
                </c:pt>
                <c:pt idx="5">
                  <c:v>5.3209999999999993E-2</c:v>
                </c:pt>
                <c:pt idx="6">
                  <c:v>7.5913999999999995E-2</c:v>
                </c:pt>
                <c:pt idx="7">
                  <c:v>0.10306399999999999</c:v>
                </c:pt>
                <c:pt idx="8">
                  <c:v>0.13465999999999997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1CC-4E62-A71A-39C6A221C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40416"/>
        <c:axId val="122951168"/>
      </c:scatterChart>
      <c:valAx>
        <c:axId val="122940416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NZ" sz="1400" b="0" i="0" u="none" strike="noStrike" baseline="0">
                    <a:effectLst/>
                  </a:rPr>
                  <a:t>𝜆</a:t>
                </a:r>
                <a:r>
                  <a:rPr lang="en-US" b="0"/>
                  <a:t> [deg]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2951168"/>
        <c:crosses val="autoZero"/>
        <c:crossBetween val="midCat"/>
        <c:majorUnit val="4"/>
      </c:valAx>
      <c:valAx>
        <c:axId val="122951168"/>
        <c:scaling>
          <c:orientation val="minMax"/>
          <c:max val="0.15000000000000002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40416"/>
        <c:crosses val="autoZero"/>
        <c:crossBetween val="midCat"/>
        <c:majorUnit val="5.000000000000001E-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578844030772634"/>
          <c:y val="0.73541912379406205"/>
          <c:w val="0.77936106589172738"/>
          <c:h val="0.24333958771272302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yaw'!$P$2</c:f>
              <c:strCache>
                <c:ptCount val="1"/>
                <c:pt idx="0">
                  <c:v>U, 0.4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yaw'!$D$16:$D$19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yaw'!$X$16:$X$19</c:f>
              <c:numCache>
                <c:formatCode>General</c:formatCode>
                <c:ptCount val="4"/>
                <c:pt idx="0">
                  <c:v>-6.9860001683000311E-3</c:v>
                </c:pt>
                <c:pt idx="1">
                  <c:v>9.0738803014292716E-3</c:v>
                </c:pt>
                <c:pt idx="2">
                  <c:v>7.626204485753163E-2</c:v>
                </c:pt>
                <c:pt idx="3">
                  <c:v>0.14316280456583105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6-4F6E-9453-0EBA8616DC25}"/>
            </c:ext>
          </c:extLst>
        </c:ser>
        <c:ser>
          <c:idx val="1"/>
          <c:order val="1"/>
          <c:tx>
            <c:strRef>
              <c:f>'Results vs yaw'!$P$3</c:f>
              <c:strCache>
                <c:ptCount val="1"/>
                <c:pt idx="0">
                  <c:v>U, 0.8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yaw'!$D$20:$D$24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yaw'!$X$20:$X$24</c:f>
              <c:numCache>
                <c:formatCode>General</c:formatCode>
                <c:ptCount val="5"/>
                <c:pt idx="0">
                  <c:v>-2.1752992357932772E-3</c:v>
                </c:pt>
                <c:pt idx="1">
                  <c:v>3.6066206277473745E-3</c:v>
                </c:pt>
                <c:pt idx="2">
                  <c:v>1.3678603489184316E-2</c:v>
                </c:pt>
                <c:pt idx="3">
                  <c:v>4.6596005015195278E-2</c:v>
                </c:pt>
                <c:pt idx="4">
                  <c:v>8.0165717722167726E-2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6-4F6E-9453-0EBA8616DC25}"/>
            </c:ext>
          </c:extLst>
        </c:ser>
        <c:ser>
          <c:idx val="2"/>
          <c:order val="2"/>
          <c:tx>
            <c:strRef>
              <c:f>'Results vs yaw'!$P$4</c:f>
              <c:strCache>
                <c:ptCount val="1"/>
                <c:pt idx="0">
                  <c:v>U, 1.2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yaw'!$D$25:$D$29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yaw'!$X$25:$X$29</c:f>
              <c:numCache>
                <c:formatCode>General</c:formatCode>
                <c:ptCount val="5"/>
                <c:pt idx="0">
                  <c:v>-5.4439733543478787E-3</c:v>
                </c:pt>
                <c:pt idx="1">
                  <c:v>6.9397662167686629E-3</c:v>
                </c:pt>
                <c:pt idx="2">
                  <c:v>2.7911536073602389E-2</c:v>
                </c:pt>
                <c:pt idx="3">
                  <c:v>5.9826307108193436E-2</c:v>
                </c:pt>
                <c:pt idx="4">
                  <c:v>9.2804331317701022E-2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A6-4F6E-9453-0EBA8616DC25}"/>
            </c:ext>
          </c:extLst>
        </c:ser>
        <c:ser>
          <c:idx val="14"/>
          <c:order val="3"/>
          <c:tx>
            <c:strRef>
              <c:f>'Results vs yaw'!$P$5</c:f>
              <c:strCache>
                <c:ptCount val="1"/>
                <c:pt idx="0">
                  <c:v>U, 1.6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yaw'!$D$30:$D$31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'Results vs yaw'!$X$30:$X$31</c:f>
              <c:numCache>
                <c:formatCode>General</c:formatCode>
                <c:ptCount val="2"/>
                <c:pt idx="0">
                  <c:v>-5.2838325625814038E-3</c:v>
                </c:pt>
                <c:pt idx="1">
                  <c:v>1.1149424111624055E-2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A6-4F6E-9453-0EBA8616DC25}"/>
            </c:ext>
          </c:extLst>
        </c:ser>
        <c:ser>
          <c:idx val="4"/>
          <c:order val="4"/>
          <c:tx>
            <c:v>U CFD</c:v>
          </c:tx>
          <c:spPr>
            <a:ln w="50800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'Results vs yaw'!$B$115:$J$115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xVal>
          <c:yVal>
            <c:numRef>
              <c:f>'Results vs yaw'!$B$118:$J$118</c:f>
              <c:numCache>
                <c:formatCode>0.00</c:formatCode>
                <c:ptCount val="9"/>
                <c:pt idx="0">
                  <c:v>0</c:v>
                </c:pt>
                <c:pt idx="1">
                  <c:v>1.0499987400000001E-2</c:v>
                </c:pt>
                <c:pt idx="2">
                  <c:v>2.0999949599999998E-2</c:v>
                </c:pt>
                <c:pt idx="3">
                  <c:v>3.1499886599999999E-2</c:v>
                </c:pt>
                <c:pt idx="4">
                  <c:v>4.1999798400000003E-2</c:v>
                </c:pt>
                <c:pt idx="5">
                  <c:v>5.2499684999999997E-2</c:v>
                </c:pt>
                <c:pt idx="6">
                  <c:v>6.2999546399999995E-2</c:v>
                </c:pt>
                <c:pt idx="7">
                  <c:v>7.3499382599999996E-2</c:v>
                </c:pt>
                <c:pt idx="8">
                  <c:v>8.3999193600000008E-2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A6-4F6E-9453-0EBA8616DC25}"/>
            </c:ext>
          </c:extLst>
        </c:ser>
        <c:ser>
          <c:idx val="5"/>
          <c:order val="5"/>
          <c:tx>
            <c:strRef>
              <c:f>'Results vs yaw'!$Q$2</c:f>
              <c:strCache>
                <c:ptCount val="1"/>
                <c:pt idx="0">
                  <c:v>V1, 0.4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yaw'!$D$33:$D$36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yaw'!$X$33:$X$36</c:f>
              <c:numCache>
                <c:formatCode>General</c:formatCode>
                <c:ptCount val="4"/>
                <c:pt idx="0">
                  <c:v>4.6696617770944221E-3</c:v>
                </c:pt>
                <c:pt idx="1">
                  <c:v>5.1783054830558131E-2</c:v>
                </c:pt>
                <c:pt idx="2">
                  <c:v>0.13470229892326852</c:v>
                </c:pt>
                <c:pt idx="3">
                  <c:v>0.23748759044768647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A6-4F6E-9453-0EBA8616DC25}"/>
            </c:ext>
          </c:extLst>
        </c:ser>
        <c:ser>
          <c:idx val="15"/>
          <c:order val="6"/>
          <c:tx>
            <c:strRef>
              <c:f>'Results vs yaw'!$Q$3</c:f>
              <c:strCache>
                <c:ptCount val="1"/>
                <c:pt idx="0">
                  <c:v>V1, 0.8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yaw'!$D$37:$D$40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yaw'!$X$37:$X$40</c:f>
              <c:numCache>
                <c:formatCode>General</c:formatCode>
                <c:ptCount val="4"/>
                <c:pt idx="0">
                  <c:v>2.88772703999295E-3</c:v>
                </c:pt>
                <c:pt idx="1">
                  <c:v>5.0239335005138268E-2</c:v>
                </c:pt>
                <c:pt idx="2">
                  <c:v>0.14241376319514101</c:v>
                </c:pt>
                <c:pt idx="3">
                  <c:v>0.23147640802429389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A6-4F6E-9453-0EBA8616DC25}"/>
            </c:ext>
          </c:extLst>
        </c:ser>
        <c:ser>
          <c:idx val="6"/>
          <c:order val="7"/>
          <c:tx>
            <c:strRef>
              <c:f>'Results vs yaw'!$Q$4</c:f>
              <c:strCache>
                <c:ptCount val="1"/>
                <c:pt idx="0">
                  <c:v>V1, 1.2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yaw'!$D$42:$D$45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yaw'!$X$42:$X$45</c:f>
              <c:numCache>
                <c:formatCode>General</c:formatCode>
                <c:ptCount val="4"/>
                <c:pt idx="0">
                  <c:v>3.2621056188216818E-3</c:v>
                </c:pt>
                <c:pt idx="1">
                  <c:v>5.8516022266601381E-2</c:v>
                </c:pt>
                <c:pt idx="2">
                  <c:v>0.15275457102659054</c:v>
                </c:pt>
                <c:pt idx="3">
                  <c:v>0.20628856391085273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A6-4F6E-9453-0EBA8616DC25}"/>
            </c:ext>
          </c:extLst>
        </c:ser>
        <c:ser>
          <c:idx val="16"/>
          <c:order val="8"/>
          <c:tx>
            <c:strRef>
              <c:f>'Results vs yaw'!$Q$5</c:f>
              <c:strCache>
                <c:ptCount val="1"/>
                <c:pt idx="0">
                  <c:v>V1, 1.6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yaw'!$D$46:$D$48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'Results vs yaw'!$X$46:$X$48</c:f>
              <c:numCache>
                <c:formatCode>General</c:formatCode>
                <c:ptCount val="3"/>
                <c:pt idx="0">
                  <c:v>2.8469570158263474E-3</c:v>
                </c:pt>
                <c:pt idx="1">
                  <c:v>4.7485198923469543E-2</c:v>
                </c:pt>
                <c:pt idx="2">
                  <c:v>0.13045202438713663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A6-4F6E-9453-0EBA8616DC25}"/>
            </c:ext>
          </c:extLst>
        </c:ser>
        <c:ser>
          <c:idx val="7"/>
          <c:order val="9"/>
          <c:tx>
            <c:v>V1 CFD</c:v>
          </c:tx>
          <c:spPr>
            <a:ln w="50800">
              <a:solidFill>
                <a:srgbClr val="00B050"/>
              </a:solidFill>
              <a:prstDash val="dashDot"/>
            </a:ln>
          </c:spPr>
          <c:marker>
            <c:symbol val="none"/>
          </c:marker>
          <c:xVal>
            <c:numRef>
              <c:f>'Results vs yaw'!$B$107:$J$107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xVal>
          <c:yVal>
            <c:numRef>
              <c:f>'Results vs yaw'!$B$110:$J$110</c:f>
              <c:numCache>
                <c:formatCode>0.00</c:formatCode>
                <c:ptCount val="9"/>
                <c:pt idx="0">
                  <c:v>0</c:v>
                </c:pt>
                <c:pt idx="1">
                  <c:v>1.77E-2</c:v>
                </c:pt>
                <c:pt idx="2">
                  <c:v>4.0800000000000003E-2</c:v>
                </c:pt>
                <c:pt idx="3">
                  <c:v>6.93E-2</c:v>
                </c:pt>
                <c:pt idx="4">
                  <c:v>0.1032</c:v>
                </c:pt>
                <c:pt idx="5">
                  <c:v>0.14250000000000002</c:v>
                </c:pt>
                <c:pt idx="6">
                  <c:v>0.18720000000000001</c:v>
                </c:pt>
                <c:pt idx="7">
                  <c:v>0.23729999999999998</c:v>
                </c:pt>
                <c:pt idx="8">
                  <c:v>0.2928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A6-4F6E-9453-0EBA8616DC25}"/>
            </c:ext>
          </c:extLst>
        </c:ser>
        <c:ser>
          <c:idx val="9"/>
          <c:order val="10"/>
          <c:tx>
            <c:strRef>
              <c:f>'Results vs yaw'!$R$2</c:f>
              <c:strCache>
                <c:ptCount val="1"/>
                <c:pt idx="0">
                  <c:v>V2, 0.4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yaw'!$D$50:$D$54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yaw'!$X$50:$X$54</c:f>
              <c:numCache>
                <c:formatCode>General</c:formatCode>
                <c:ptCount val="5"/>
                <c:pt idx="0">
                  <c:v>1.8275323651932839E-4</c:v>
                </c:pt>
                <c:pt idx="1">
                  <c:v>2.613919364271591E-2</c:v>
                </c:pt>
                <c:pt idx="2">
                  <c:v>6.0097421392089782E-2</c:v>
                </c:pt>
                <c:pt idx="3">
                  <c:v>0.12689692506060996</c:v>
                </c:pt>
                <c:pt idx="4">
                  <c:v>0.18866557796753755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A6-4F6E-9453-0EBA8616DC25}"/>
            </c:ext>
          </c:extLst>
        </c:ser>
        <c:ser>
          <c:idx val="10"/>
          <c:order val="11"/>
          <c:tx>
            <c:strRef>
              <c:f>'Results vs yaw'!$R$3</c:f>
              <c:strCache>
                <c:ptCount val="1"/>
                <c:pt idx="0">
                  <c:v>V2, 0.8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yaw'!$D$55:$D$59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yaw'!$X$55:$X$59</c:f>
              <c:numCache>
                <c:formatCode>General</c:formatCode>
                <c:ptCount val="5"/>
                <c:pt idx="0">
                  <c:v>2.2729513777060011E-3</c:v>
                </c:pt>
                <c:pt idx="1">
                  <c:v>2.6417927860994436E-2</c:v>
                </c:pt>
                <c:pt idx="2">
                  <c:v>6.6749937952498492E-2</c:v>
                </c:pt>
                <c:pt idx="3">
                  <c:v>0.11786394567997723</c:v>
                </c:pt>
                <c:pt idx="4">
                  <c:v>0.18730164972647309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A6-4F6E-9453-0EBA8616DC25}"/>
            </c:ext>
          </c:extLst>
        </c:ser>
        <c:ser>
          <c:idx val="11"/>
          <c:order val="12"/>
          <c:tx>
            <c:strRef>
              <c:f>'Results vs yaw'!$R$4</c:f>
              <c:strCache>
                <c:ptCount val="1"/>
                <c:pt idx="0">
                  <c:v>V2, 1.2 m/s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yaw'!$D$60:$D$64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yaw'!$X$60:$X$64</c:f>
              <c:numCache>
                <c:formatCode>General</c:formatCode>
                <c:ptCount val="5"/>
                <c:pt idx="0">
                  <c:v>3.3332468871797526E-3</c:v>
                </c:pt>
                <c:pt idx="1">
                  <c:v>2.8553428589609315E-2</c:v>
                </c:pt>
                <c:pt idx="2">
                  <c:v>6.8511169121810517E-2</c:v>
                </c:pt>
                <c:pt idx="3">
                  <c:v>0.12577378227878336</c:v>
                </c:pt>
                <c:pt idx="4">
                  <c:v>0.1852066223486257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A6-4F6E-9453-0EBA8616DC25}"/>
            </c:ext>
          </c:extLst>
        </c:ser>
        <c:ser>
          <c:idx val="3"/>
          <c:order val="13"/>
          <c:tx>
            <c:strRef>
              <c:f>'Results vs yaw'!$R$5</c:f>
              <c:strCache>
                <c:ptCount val="1"/>
                <c:pt idx="0">
                  <c:v>V2, 1.6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yaw'!$D$65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yaw'!$X$65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A6-4F6E-9453-0EBA8616DC25}"/>
            </c:ext>
          </c:extLst>
        </c:ser>
        <c:ser>
          <c:idx val="8"/>
          <c:order val="14"/>
          <c:tx>
            <c:v>V2 CFD</c:v>
          </c:tx>
          <c:spPr>
            <a:ln w="50800">
              <a:solidFill>
                <a:schemeClr val="accent4"/>
              </a:solidFill>
              <a:prstDash val="lgDashDotDot"/>
            </a:ln>
          </c:spPr>
          <c:marker>
            <c:symbol val="none"/>
          </c:marker>
          <c:xVal>
            <c:numRef>
              <c:f>'Results vs yaw'!$B$99:$J$99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xVal>
          <c:yVal>
            <c:numRef>
              <c:f>'Results vs yaw'!$B$102:$J$102</c:f>
              <c:numCache>
                <c:formatCode>0.00</c:formatCode>
                <c:ptCount val="9"/>
                <c:pt idx="0">
                  <c:v>0</c:v>
                </c:pt>
                <c:pt idx="1">
                  <c:v>2.4321599999999999E-2</c:v>
                </c:pt>
                <c:pt idx="2">
                  <c:v>5.40864E-2</c:v>
                </c:pt>
                <c:pt idx="3">
                  <c:v>8.929440000000001E-2</c:v>
                </c:pt>
                <c:pt idx="4">
                  <c:v>0.12994560000000002</c:v>
                </c:pt>
                <c:pt idx="5">
                  <c:v>0.17604</c:v>
                </c:pt>
                <c:pt idx="6">
                  <c:v>0.22757759999999999</c:v>
                </c:pt>
                <c:pt idx="7">
                  <c:v>0.28455840000000004</c:v>
                </c:pt>
                <c:pt idx="8">
                  <c:v>0.34698239999999997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A6-4F6E-9453-0EBA8616D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60096"/>
        <c:axId val="123862016"/>
      </c:scatterChart>
      <c:valAx>
        <c:axId val="123860096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NZ" sz="1400" b="0" i="0" u="none" strike="noStrike" baseline="0">
                    <a:effectLst/>
                  </a:rPr>
                  <a:t>𝜆</a:t>
                </a:r>
                <a:r>
                  <a:rPr lang="en-US" b="0"/>
                  <a:t> [deg]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3862016"/>
        <c:crosses val="autoZero"/>
        <c:crossBetween val="midCat"/>
        <c:majorUnit val="4"/>
      </c:valAx>
      <c:valAx>
        <c:axId val="123862016"/>
        <c:scaling>
          <c:orientation val="minMax"/>
          <c:max val="0.30000000000000004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860096"/>
        <c:crosses val="autoZero"/>
        <c:crossBetween val="midCat"/>
        <c:majorUnit val="0.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239701080771461E-2"/>
          <c:y val="0.72675031860371941"/>
          <c:w val="0.86688983265545727"/>
          <c:h val="0.24333964407644371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yaw'!$P$2</c:f>
              <c:strCache>
                <c:ptCount val="1"/>
                <c:pt idx="0">
                  <c:v>U, 0.4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yaw'!$D$15:$D$19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yaw'!$Y$15:$Y$19</c:f>
              <c:numCache>
                <c:formatCode>General</c:formatCode>
                <c:ptCount val="5"/>
                <c:pt idx="0">
                  <c:v>2.1164224042161798E-3</c:v>
                </c:pt>
                <c:pt idx="1">
                  <c:v>2.5542945502587341E-2</c:v>
                </c:pt>
                <c:pt idx="2">
                  <c:v>1.4586669696872105E-2</c:v>
                </c:pt>
                <c:pt idx="3">
                  <c:v>8.471944264230551E-3</c:v>
                </c:pt>
                <c:pt idx="4">
                  <c:v>1.3293069189155524E-2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0-4B3C-9C9F-4469A582313F}"/>
            </c:ext>
          </c:extLst>
        </c:ser>
        <c:ser>
          <c:idx val="1"/>
          <c:order val="1"/>
          <c:tx>
            <c:strRef>
              <c:f>'Results vs yaw'!$P$3</c:f>
              <c:strCache>
                <c:ptCount val="1"/>
                <c:pt idx="0">
                  <c:v>U, 0.8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yaw'!$D$20:$D$24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yaw'!$Y$20:$Y$24</c:f>
              <c:numCache>
                <c:formatCode>General</c:formatCode>
                <c:ptCount val="5"/>
                <c:pt idx="0">
                  <c:v>3.2671573298939015E-2</c:v>
                </c:pt>
                <c:pt idx="1">
                  <c:v>3.4109655017982216E-2</c:v>
                </c:pt>
                <c:pt idx="2">
                  <c:v>3.5495051092949058E-2</c:v>
                </c:pt>
                <c:pt idx="3">
                  <c:v>1.6546155207328904E-2</c:v>
                </c:pt>
                <c:pt idx="4">
                  <c:v>2.7179013507131568E-2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0-4B3C-9C9F-4469A582313F}"/>
            </c:ext>
          </c:extLst>
        </c:ser>
        <c:ser>
          <c:idx val="2"/>
          <c:order val="2"/>
          <c:tx>
            <c:strRef>
              <c:f>'Results vs yaw'!$P$4</c:f>
              <c:strCache>
                <c:ptCount val="1"/>
                <c:pt idx="0">
                  <c:v>U, 1.2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yaw'!$D$25:$D$29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yaw'!$Y$25:$Y$29</c:f>
              <c:numCache>
                <c:formatCode>General</c:formatCode>
                <c:ptCount val="5"/>
                <c:pt idx="0">
                  <c:v>4.6323059659512451E-2</c:v>
                </c:pt>
                <c:pt idx="1">
                  <c:v>4.8958928963862627E-2</c:v>
                </c:pt>
                <c:pt idx="2">
                  <c:v>4.8078024268607814E-2</c:v>
                </c:pt>
                <c:pt idx="3">
                  <c:v>3.8723617411839918E-2</c:v>
                </c:pt>
                <c:pt idx="4">
                  <c:v>3.5821992309275248E-2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A0-4B3C-9C9F-4469A582313F}"/>
            </c:ext>
          </c:extLst>
        </c:ser>
        <c:ser>
          <c:idx val="14"/>
          <c:order val="3"/>
          <c:tx>
            <c:strRef>
              <c:f>'Results vs yaw'!$P$5</c:f>
              <c:strCache>
                <c:ptCount val="1"/>
                <c:pt idx="0">
                  <c:v>U, 1.6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yaw'!$D$30:$D$31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'Results vs yaw'!$Y$30:$Y$31</c:f>
              <c:numCache>
                <c:formatCode>General</c:formatCode>
                <c:ptCount val="2"/>
                <c:pt idx="0">
                  <c:v>3.9528465429481165E-2</c:v>
                </c:pt>
                <c:pt idx="1">
                  <c:v>4.1607700025406702E-2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A0-4B3C-9C9F-4469A582313F}"/>
            </c:ext>
          </c:extLst>
        </c:ser>
        <c:ser>
          <c:idx val="5"/>
          <c:order val="4"/>
          <c:tx>
            <c:strRef>
              <c:f>'Results vs yaw'!$Q$2</c:f>
              <c:strCache>
                <c:ptCount val="1"/>
                <c:pt idx="0">
                  <c:v>V1, 0.4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yaw'!$D$33:$D$36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yaw'!$Y$33:$Y$36</c:f>
              <c:numCache>
                <c:formatCode>General</c:formatCode>
                <c:ptCount val="4"/>
                <c:pt idx="0">
                  <c:v>7.1515402487930362E-3</c:v>
                </c:pt>
                <c:pt idx="1">
                  <c:v>8.6814518878018093E-3</c:v>
                </c:pt>
                <c:pt idx="2">
                  <c:v>5.3993110471940815E-3</c:v>
                </c:pt>
                <c:pt idx="3">
                  <c:v>1.253371360826851E-2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A0-4B3C-9C9F-4469A582313F}"/>
            </c:ext>
          </c:extLst>
        </c:ser>
        <c:ser>
          <c:idx val="15"/>
          <c:order val="5"/>
          <c:tx>
            <c:strRef>
              <c:f>'Results vs yaw'!$Q$3</c:f>
              <c:strCache>
                <c:ptCount val="1"/>
                <c:pt idx="0">
                  <c:v>V1, 0.8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yaw'!$D$37:$D$40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yaw'!$Y$37:$Y$40</c:f>
              <c:numCache>
                <c:formatCode>General</c:formatCode>
                <c:ptCount val="4"/>
                <c:pt idx="0">
                  <c:v>2.718866649002943E-2</c:v>
                </c:pt>
                <c:pt idx="1">
                  <c:v>2.5881302239457962E-2</c:v>
                </c:pt>
                <c:pt idx="2">
                  <c:v>1.6422833318036806E-2</c:v>
                </c:pt>
                <c:pt idx="3">
                  <c:v>1.317496465298975E-2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A0-4B3C-9C9F-4469A582313F}"/>
            </c:ext>
          </c:extLst>
        </c:ser>
        <c:ser>
          <c:idx val="6"/>
          <c:order val="6"/>
          <c:tx>
            <c:strRef>
              <c:f>'Results vs yaw'!$Q$4</c:f>
              <c:strCache>
                <c:ptCount val="1"/>
                <c:pt idx="0">
                  <c:v>V1, 1.2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yaw'!$D$42:$D$45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yaw'!$Y$42:$Y$45</c:f>
              <c:numCache>
                <c:formatCode>General</c:formatCode>
                <c:ptCount val="4"/>
                <c:pt idx="0">
                  <c:v>2.3613930823061697E-2</c:v>
                </c:pt>
                <c:pt idx="1">
                  <c:v>1.8703039765211416E-2</c:v>
                </c:pt>
                <c:pt idx="2">
                  <c:v>1.4763611258228147E-2</c:v>
                </c:pt>
                <c:pt idx="3">
                  <c:v>1.9321127858153365E-2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A0-4B3C-9C9F-4469A582313F}"/>
            </c:ext>
          </c:extLst>
        </c:ser>
        <c:ser>
          <c:idx val="16"/>
          <c:order val="7"/>
          <c:tx>
            <c:strRef>
              <c:f>'Results vs yaw'!$Q$5</c:f>
              <c:strCache>
                <c:ptCount val="1"/>
                <c:pt idx="0">
                  <c:v>V1, 1.6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yaw'!$D$46:$D$48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'Results vs yaw'!$Y$46:$Y$48</c:f>
              <c:numCache>
                <c:formatCode>General</c:formatCode>
                <c:ptCount val="3"/>
                <c:pt idx="0">
                  <c:v>1.9684552264690788E-2</c:v>
                </c:pt>
                <c:pt idx="1">
                  <c:v>1.9231473421214271E-2</c:v>
                </c:pt>
                <c:pt idx="2">
                  <c:v>1.8128280457891808E-2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1A0-4B3C-9C9F-4469A582313F}"/>
            </c:ext>
          </c:extLst>
        </c:ser>
        <c:ser>
          <c:idx val="9"/>
          <c:order val="8"/>
          <c:tx>
            <c:strRef>
              <c:f>'Results vs yaw'!$R$2</c:f>
              <c:strCache>
                <c:ptCount val="1"/>
                <c:pt idx="0">
                  <c:v>V2, 0.4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yaw'!$D$50:$D$54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yaw'!$Y$50:$Y$54</c:f>
              <c:numCache>
                <c:formatCode>General</c:formatCode>
                <c:ptCount val="5"/>
                <c:pt idx="0">
                  <c:v>8.4457846231607084E-3</c:v>
                </c:pt>
                <c:pt idx="1">
                  <c:v>4.0594503522460492E-3</c:v>
                </c:pt>
                <c:pt idx="2">
                  <c:v>2.6340274272105276E-2</c:v>
                </c:pt>
                <c:pt idx="3">
                  <c:v>-2.9691330775944956E-3</c:v>
                </c:pt>
                <c:pt idx="4">
                  <c:v>7.9491866035753585E-3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A0-4B3C-9C9F-4469A582313F}"/>
            </c:ext>
          </c:extLst>
        </c:ser>
        <c:ser>
          <c:idx val="10"/>
          <c:order val="9"/>
          <c:tx>
            <c:strRef>
              <c:f>'Results vs yaw'!$R$3</c:f>
              <c:strCache>
                <c:ptCount val="1"/>
                <c:pt idx="0">
                  <c:v>V2, 0.8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yaw'!$D$55:$D$59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yaw'!$Y$55:$Y$59</c:f>
              <c:numCache>
                <c:formatCode>General</c:formatCode>
                <c:ptCount val="5"/>
                <c:pt idx="0">
                  <c:v>9.4520207090839931E-3</c:v>
                </c:pt>
                <c:pt idx="1">
                  <c:v>1.5218237562305186E-2</c:v>
                </c:pt>
                <c:pt idx="2">
                  <c:v>4.8145392393202343E-3</c:v>
                </c:pt>
                <c:pt idx="3">
                  <c:v>1.7681791172886912E-2</c:v>
                </c:pt>
                <c:pt idx="4">
                  <c:v>4.8337217021287467E-3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1A0-4B3C-9C9F-4469A582313F}"/>
            </c:ext>
          </c:extLst>
        </c:ser>
        <c:ser>
          <c:idx val="11"/>
          <c:order val="10"/>
          <c:tx>
            <c:strRef>
              <c:f>'Results vs yaw'!$R$4</c:f>
              <c:strCache>
                <c:ptCount val="1"/>
                <c:pt idx="0">
                  <c:v>V2, 1.2 m/s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yaw'!$D$60:$D$64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yaw'!$Y$60:$Y$64</c:f>
              <c:numCache>
                <c:formatCode>General</c:formatCode>
                <c:ptCount val="5"/>
                <c:pt idx="0">
                  <c:v>1.5672113664844924E-2</c:v>
                </c:pt>
                <c:pt idx="1">
                  <c:v>1.3924842970088796E-2</c:v>
                </c:pt>
                <c:pt idx="2">
                  <c:v>1.2891047962498016E-2</c:v>
                </c:pt>
                <c:pt idx="3">
                  <c:v>8.4034971794078803E-3</c:v>
                </c:pt>
                <c:pt idx="4">
                  <c:v>5.1397082558576387E-3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A0-4B3C-9C9F-4469A582313F}"/>
            </c:ext>
          </c:extLst>
        </c:ser>
        <c:ser>
          <c:idx val="3"/>
          <c:order val="11"/>
          <c:tx>
            <c:strRef>
              <c:f>'Results vs yaw'!$R$5</c:f>
              <c:strCache>
                <c:ptCount val="1"/>
                <c:pt idx="0">
                  <c:v>V2, 1.6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yaw'!$D$65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yaw'!$Y$65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1A0-4B3C-9C9F-4469A5823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8112"/>
        <c:axId val="123980416"/>
      </c:scatterChart>
      <c:valAx>
        <c:axId val="123978112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NZ" sz="1400" b="0" i="0" u="none" strike="noStrike" baseline="0">
                    <a:effectLst/>
                  </a:rPr>
                  <a:t>𝜆</a:t>
                </a:r>
                <a:r>
                  <a:rPr lang="en-NZ" sz="1400" b="0" i="0" u="none" strike="noStrike" baseline="0"/>
                  <a:t> </a:t>
                </a:r>
                <a:r>
                  <a:rPr lang="en-US" b="0"/>
                  <a:t> [deg]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3980416"/>
        <c:crosses val="autoZero"/>
        <c:crossBetween val="midCat"/>
        <c:majorUnit val="4"/>
      </c:valAx>
      <c:valAx>
        <c:axId val="123980416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978112"/>
        <c:crosses val="autoZero"/>
        <c:crossBetween val="midCat"/>
        <c:majorUnit val="5.000000000000001E-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636253626191464"/>
          <c:y val="0.75666038487410026"/>
          <c:w val="0.65197513468711144"/>
          <c:h val="0.21510365392477679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yaw'!$P$2</c:f>
              <c:strCache>
                <c:ptCount val="1"/>
                <c:pt idx="0">
                  <c:v>U, 0.4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yaw'!$D$16:$D$19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yaw'!$Z$16:$Z$19</c:f>
              <c:numCache>
                <c:formatCode>General</c:formatCode>
                <c:ptCount val="4"/>
                <c:pt idx="0">
                  <c:v>-6.9860001683000311E-3</c:v>
                </c:pt>
                <c:pt idx="1">
                  <c:v>1.0116037101101396E-2</c:v>
                </c:pt>
                <c:pt idx="2">
                  <c:v>8.1764653169116269E-2</c:v>
                </c:pt>
                <c:pt idx="3">
                  <c:v>0.16262965532923288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0-4FA2-9363-2915F00DA476}"/>
            </c:ext>
          </c:extLst>
        </c:ser>
        <c:ser>
          <c:idx val="1"/>
          <c:order val="1"/>
          <c:tx>
            <c:strRef>
              <c:f>'Results vs yaw'!$P$3</c:f>
              <c:strCache>
                <c:ptCount val="1"/>
                <c:pt idx="0">
                  <c:v>U, 0.8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yaw'!$D$20:$D$24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yaw'!$Z$20:$Z$24</c:f>
              <c:numCache>
                <c:formatCode>General</c:formatCode>
                <c:ptCount val="5"/>
                <c:pt idx="0">
                  <c:v>-2.1752992357932772E-3</c:v>
                </c:pt>
                <c:pt idx="1">
                  <c:v>6.0006070596382455E-3</c:v>
                </c:pt>
                <c:pt idx="2">
                  <c:v>1.8801535065334791E-2</c:v>
                </c:pt>
                <c:pt idx="3">
                  <c:v>5.3218331388462659E-2</c:v>
                </c:pt>
                <c:pt idx="4">
                  <c:v>9.9853179362923053E-2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00-4FA2-9363-2915F00DA476}"/>
            </c:ext>
          </c:extLst>
        </c:ser>
        <c:ser>
          <c:idx val="2"/>
          <c:order val="2"/>
          <c:tx>
            <c:strRef>
              <c:f>'Results vs yaw'!$P$4</c:f>
              <c:strCache>
                <c:ptCount val="1"/>
                <c:pt idx="0">
                  <c:v>U, 1.2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yaw'!$D$25:$D$29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24</c:v>
                </c:pt>
              </c:numCache>
            </c:numRef>
          </c:xVal>
          <c:yVal>
            <c:numRef>
              <c:f>'Results vs yaw'!$Z$25:$Z$29</c:f>
              <c:numCache>
                <c:formatCode>General</c:formatCode>
                <c:ptCount val="5"/>
                <c:pt idx="0">
                  <c:v>-5.4439733543478787E-3</c:v>
                </c:pt>
                <c:pt idx="1">
                  <c:v>1.038025423718888E-2</c:v>
                </c:pt>
                <c:pt idx="2">
                  <c:v>3.4942764380023715E-2</c:v>
                </c:pt>
                <c:pt idx="3">
                  <c:v>7.3341092147071116E-2</c:v>
                </c:pt>
                <c:pt idx="4">
                  <c:v>0.11753596640384151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00-4FA2-9363-2915F00DA476}"/>
            </c:ext>
          </c:extLst>
        </c:ser>
        <c:ser>
          <c:idx val="14"/>
          <c:order val="3"/>
          <c:tx>
            <c:strRef>
              <c:f>'Results vs yaw'!$P$5</c:f>
              <c:strCache>
                <c:ptCount val="1"/>
                <c:pt idx="0">
                  <c:v>U, 1.6 m/s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yaw'!$D$30:$D$31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'Results vs yaw'!$Z$30:$Z$31</c:f>
              <c:numCache>
                <c:formatCode>General</c:formatCode>
                <c:ptCount val="2"/>
                <c:pt idx="0">
                  <c:v>-5.2838325625814038E-3</c:v>
                </c:pt>
                <c:pt idx="1">
                  <c:v>1.4086143684047011E-2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00-4FA2-9363-2915F00DA476}"/>
            </c:ext>
          </c:extLst>
        </c:ser>
        <c:ser>
          <c:idx val="5"/>
          <c:order val="4"/>
          <c:tx>
            <c:strRef>
              <c:f>'Results vs yaw'!$Q$2</c:f>
              <c:strCache>
                <c:ptCount val="1"/>
                <c:pt idx="0">
                  <c:v>V1, 0.4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yaw'!$D$33:$D$36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yaw'!$Z$33:$Z$36</c:f>
              <c:numCache>
                <c:formatCode>General</c:formatCode>
                <c:ptCount val="4"/>
                <c:pt idx="0">
                  <c:v>4.6696617770944221E-3</c:v>
                </c:pt>
                <c:pt idx="1">
                  <c:v>5.3512055051881342E-2</c:v>
                </c:pt>
                <c:pt idx="2">
                  <c:v>0.14167895310819661</c:v>
                </c:pt>
                <c:pt idx="3">
                  <c:v>0.26554290103086681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00-4FA2-9363-2915F00DA476}"/>
            </c:ext>
          </c:extLst>
        </c:ser>
        <c:ser>
          <c:idx val="15"/>
          <c:order val="5"/>
          <c:tx>
            <c:strRef>
              <c:f>'Results vs yaw'!$Q$3</c:f>
              <c:strCache>
                <c:ptCount val="1"/>
                <c:pt idx="0">
                  <c:v>V1, 0.8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yaw'!$D$37:$D$40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yaw'!$Z$37:$Z$40</c:f>
              <c:numCache>
                <c:formatCode>General</c:formatCode>
                <c:ptCount val="4"/>
                <c:pt idx="0">
                  <c:v>2.88772703999295E-3</c:v>
                </c:pt>
                <c:pt idx="1">
                  <c:v>5.4370445533106708E-2</c:v>
                </c:pt>
                <c:pt idx="2">
                  <c:v>0.15286212918586606</c:v>
                </c:pt>
                <c:pt idx="3">
                  <c:v>0.25924834603309732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00-4FA2-9363-2915F00DA476}"/>
            </c:ext>
          </c:extLst>
        </c:ser>
        <c:ser>
          <c:idx val="6"/>
          <c:order val="6"/>
          <c:tx>
            <c:strRef>
              <c:f>'Results vs yaw'!$Q$4</c:f>
              <c:strCache>
                <c:ptCount val="1"/>
                <c:pt idx="0">
                  <c:v>V1, 1.2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yaw'!$D$42:$D$45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'Results vs yaw'!$Z$42:$Z$45</c:f>
              <c:numCache>
                <c:formatCode>General</c:formatCode>
                <c:ptCount val="4"/>
                <c:pt idx="0">
                  <c:v>3.2621056188216818E-3</c:v>
                </c:pt>
                <c:pt idx="1">
                  <c:v>6.1719633539002311E-2</c:v>
                </c:pt>
                <c:pt idx="2">
                  <c:v>0.16314389146967687</c:v>
                </c:pt>
                <c:pt idx="3">
                  <c:v>0.23441326625269635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00-4FA2-9363-2915F00DA476}"/>
            </c:ext>
          </c:extLst>
        </c:ser>
        <c:ser>
          <c:idx val="16"/>
          <c:order val="7"/>
          <c:tx>
            <c:strRef>
              <c:f>'Results vs yaw'!$Q$5</c:f>
              <c:strCache>
                <c:ptCount val="1"/>
                <c:pt idx="0">
                  <c:v>V1, 1.6 m/s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yaw'!$D$46:$D$48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16</c:v>
                </c:pt>
              </c:numCache>
            </c:numRef>
          </c:xVal>
          <c:yVal>
            <c:numRef>
              <c:f>'Results vs yaw'!$Z$46:$Z$48</c:f>
              <c:numCache>
                <c:formatCode>General</c:formatCode>
                <c:ptCount val="3"/>
                <c:pt idx="0">
                  <c:v>2.8469570158263474E-3</c:v>
                </c:pt>
                <c:pt idx="1">
                  <c:v>5.065467048662526E-2</c:v>
                </c:pt>
                <c:pt idx="2">
                  <c:v>0.14090736814998425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00-4FA2-9363-2915F00DA476}"/>
            </c:ext>
          </c:extLst>
        </c:ser>
        <c:ser>
          <c:idx val="9"/>
          <c:order val="8"/>
          <c:tx>
            <c:strRef>
              <c:f>'Results vs yaw'!$R$2</c:f>
              <c:strCache>
                <c:ptCount val="1"/>
                <c:pt idx="0">
                  <c:v>V2, 0.4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yaw'!$D$50:$D$54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yaw'!$Z$50:$Z$54</c:f>
              <c:numCache>
                <c:formatCode>General</c:formatCode>
                <c:ptCount val="5"/>
                <c:pt idx="0">
                  <c:v>1.8275323651932839E-4</c:v>
                </c:pt>
                <c:pt idx="1">
                  <c:v>2.648688731089097E-2</c:v>
                </c:pt>
                <c:pt idx="2">
                  <c:v>6.4389917291494111E-2</c:v>
                </c:pt>
                <c:pt idx="3">
                  <c:v>0.1291007691348928</c:v>
                </c:pt>
                <c:pt idx="4">
                  <c:v>0.19854808690524339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000-4FA2-9363-2915F00DA476}"/>
            </c:ext>
          </c:extLst>
        </c:ser>
        <c:ser>
          <c:idx val="10"/>
          <c:order val="9"/>
          <c:tx>
            <c:strRef>
              <c:f>'Results vs yaw'!$R$3</c:f>
              <c:strCache>
                <c:ptCount val="1"/>
                <c:pt idx="0">
                  <c:v>V2, 0.8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yaw'!$D$55:$D$59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yaw'!$Z$55:$Z$59</c:f>
              <c:numCache>
                <c:formatCode>General</c:formatCode>
                <c:ptCount val="5"/>
                <c:pt idx="0">
                  <c:v>2.2729513777060011E-3</c:v>
                </c:pt>
                <c:pt idx="1">
                  <c:v>2.7546600584477724E-2</c:v>
                </c:pt>
                <c:pt idx="2">
                  <c:v>6.8082567171741409E-2</c:v>
                </c:pt>
                <c:pt idx="3">
                  <c:v>0.12425547707548359</c:v>
                </c:pt>
                <c:pt idx="4">
                  <c:v>0.19623584794052498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00-4FA2-9363-2915F00DA476}"/>
            </c:ext>
          </c:extLst>
        </c:ser>
        <c:ser>
          <c:idx val="11"/>
          <c:order val="10"/>
          <c:tx>
            <c:strRef>
              <c:f>'Results vs yaw'!$R$4</c:f>
              <c:strCache>
                <c:ptCount val="1"/>
                <c:pt idx="0">
                  <c:v>V2, 1.2 m/s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yaw'!$D$60:$D$64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'Results vs yaw'!$Z$60:$Z$64</c:f>
              <c:numCache>
                <c:formatCode>General</c:formatCode>
                <c:ptCount val="5"/>
                <c:pt idx="0">
                  <c:v>3.3332468871797526E-3</c:v>
                </c:pt>
                <c:pt idx="1">
                  <c:v>2.9596873027805476E-2</c:v>
                </c:pt>
                <c:pt idx="2">
                  <c:v>7.0996186245528461E-2</c:v>
                </c:pt>
                <c:pt idx="3">
                  <c:v>0.13036986185977475</c:v>
                </c:pt>
                <c:pt idx="4">
                  <c:v>0.19414413237362177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000-4FA2-9363-2915F00DA476}"/>
            </c:ext>
          </c:extLst>
        </c:ser>
        <c:ser>
          <c:idx val="3"/>
          <c:order val="11"/>
          <c:tx>
            <c:strRef>
              <c:f>'Results vs yaw'!$R$5</c:f>
              <c:strCache>
                <c:ptCount val="1"/>
                <c:pt idx="0">
                  <c:v>V2, 1.6 m/s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yaw'!$D$65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yaw'!$Z$65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00-4FA2-9363-2915F00DA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86528"/>
        <c:axId val="124088704"/>
      </c:scatterChart>
      <c:valAx>
        <c:axId val="124086528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NZ" sz="1400" b="0" i="0" u="none" strike="noStrike" baseline="0">
                    <a:effectLst/>
                  </a:rPr>
                  <a:t>𝜆</a:t>
                </a:r>
                <a:r>
                  <a:rPr lang="en-US" b="0"/>
                  <a:t> [deg]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4088704"/>
        <c:crosses val="autoZero"/>
        <c:crossBetween val="midCat"/>
        <c:majorUnit val="4"/>
      </c:valAx>
      <c:valAx>
        <c:axId val="124088704"/>
        <c:scaling>
          <c:orientation val="minMax"/>
          <c:max val="0.30000000000000004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C</a:t>
                </a:r>
                <a:r>
                  <a:rPr lang="en-US" b="0" i="1" baseline="-25000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086528"/>
        <c:crosses val="autoZero"/>
        <c:crossBetween val="midCat"/>
        <c:majorUnit val="0.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258172687456547"/>
          <c:y val="0.74392913881562439"/>
          <c:w val="0.68040335946475305"/>
          <c:h val="0.2148471119748615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70812517807592"/>
          <c:y val="0.1477387165192425"/>
          <c:w val="0.51194734302939526"/>
          <c:h val="0.65127287073491702"/>
        </c:manualLayout>
      </c:layout>
      <c:scatterChart>
        <c:scatterStyle val="lineMarker"/>
        <c:varyColors val="0"/>
        <c:ser>
          <c:idx val="2"/>
          <c:order val="2"/>
          <c:tx>
            <c:strRef>
              <c:f>Prohaska!$AC$2</c:f>
              <c:strCache>
                <c:ptCount val="1"/>
                <c:pt idx="0">
                  <c:v>8°</c:v>
                </c:pt>
              </c:strCache>
            </c:strRef>
          </c:tx>
          <c:spPr>
            <a:ln w="28575">
              <a:noFill/>
            </a:ln>
          </c:spPr>
          <c:trendline>
            <c:spPr>
              <a:ln>
                <a:solidFill>
                  <a:schemeClr val="tx1"/>
                </a:solidFill>
                <a:prstDash val="lgDash"/>
              </a:ln>
            </c:spPr>
            <c:trendlineType val="linear"/>
            <c:backward val="0.65000000000000013"/>
            <c:dispRSqr val="0"/>
            <c:dispEq val="1"/>
            <c:trendlineLbl>
              <c:layout>
                <c:manualLayout>
                  <c:x val="-0.17896111523959446"/>
                  <c:y val="3.8205927551894822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0.2683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+ 2.1425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Prohaska!$R$24:$R$26</c:f>
              <c:numCache>
                <c:formatCode>General</c:formatCode>
                <c:ptCount val="3"/>
                <c:pt idx="0">
                  <c:v>0.67816748715738728</c:v>
                </c:pt>
                <c:pt idx="1">
                  <c:v>3.5108343680269649</c:v>
                </c:pt>
                <c:pt idx="2">
                  <c:v>3.5135755030718148</c:v>
                </c:pt>
              </c:numCache>
            </c:numRef>
          </c:xVal>
          <c:yVal>
            <c:numRef>
              <c:f>Prohaska!$S$24:$S$26</c:f>
              <c:numCache>
                <c:formatCode>General</c:formatCode>
                <c:ptCount val="3"/>
                <c:pt idx="0">
                  <c:v>2.3240377008150186</c:v>
                </c:pt>
                <c:pt idx="1">
                  <c:v>3.5136223463906249</c:v>
                </c:pt>
                <c:pt idx="2">
                  <c:v>2.6565380213315657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DE-4240-88F9-7A54E13A426E}"/>
            </c:ext>
          </c:extLst>
        </c:ser>
        <c:ser>
          <c:idx val="1"/>
          <c:order val="3"/>
          <c:tx>
            <c:strRef>
              <c:f>Prohaska!$AB$2</c:f>
              <c:strCache>
                <c:ptCount val="1"/>
                <c:pt idx="0">
                  <c:v>4°</c:v>
                </c:pt>
              </c:strCache>
            </c:strRef>
          </c:tx>
          <c:spPr>
            <a:ln w="28575">
              <a:noFill/>
            </a:ln>
          </c:spPr>
          <c:trendline>
            <c:spPr>
              <a:ln>
                <a:solidFill>
                  <a:schemeClr val="tx1"/>
                </a:solidFill>
                <a:prstDash val="sysDot"/>
              </a:ln>
            </c:spPr>
            <c:trendlineType val="linear"/>
            <c:dispRSqr val="0"/>
            <c:dispEq val="1"/>
            <c:trendlineLbl>
              <c:layout>
                <c:manualLayout>
                  <c:x val="-0.16034098701702529"/>
                  <c:y val="0.37580590606572911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0.6223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+ 1.1931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Prohaska!$R$19:$R$21</c:f>
              <c:numCache>
                <c:formatCode>General</c:formatCode>
                <c:ptCount val="3"/>
                <c:pt idx="0">
                  <c:v>3.4690129040001023E-2</c:v>
                </c:pt>
                <c:pt idx="1">
                  <c:v>0.67127028879164186</c:v>
                </c:pt>
                <c:pt idx="2">
                  <c:v>3.5670565508069623</c:v>
                </c:pt>
              </c:numCache>
            </c:numRef>
          </c:xVal>
          <c:yVal>
            <c:numRef>
              <c:f>Prohaska!$S$19:$S$21</c:f>
              <c:numCache>
                <c:formatCode>General</c:formatCode>
                <c:ptCount val="3"/>
                <c:pt idx="0">
                  <c:v>0.79857162040796836</c:v>
                </c:pt>
                <c:pt idx="1">
                  <c:v>2.1185282742445501</c:v>
                </c:pt>
                <c:pt idx="2">
                  <c:v>3.3214588282236552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E-4240-88F9-7A54E13A426E}"/>
            </c:ext>
          </c:extLst>
        </c:ser>
        <c:ser>
          <c:idx val="0"/>
          <c:order val="4"/>
          <c:tx>
            <c:strRef>
              <c:f>Prohaska!$AA$2</c:f>
              <c:strCache>
                <c:ptCount val="1"/>
                <c:pt idx="0">
                  <c:v>0°</c:v>
                </c:pt>
              </c:strCache>
            </c:strRef>
          </c:tx>
          <c:spPr>
            <a:ln w="28575">
              <a:noFill/>
            </a:ln>
          </c:spPr>
          <c:trendline>
            <c:spPr>
              <a:ln>
                <a:solidFill>
                  <a:schemeClr val="tx1"/>
                </a:solidFill>
              </a:ln>
            </c:spPr>
            <c:trendlineType val="linear"/>
            <c:dispRSqr val="0"/>
            <c:dispEq val="1"/>
            <c:trendlineLbl>
              <c:layout>
                <c:manualLayout>
                  <c:x val="7.197164950441233E-2"/>
                  <c:y val="0.15371560989516261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0.4678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+ 1.4898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Prohaska!$R$15:$R$17</c:f>
              <c:numCache>
                <c:formatCode>General</c:formatCode>
                <c:ptCount val="3"/>
                <c:pt idx="0">
                  <c:v>3.4250533593656471E-2</c:v>
                </c:pt>
                <c:pt idx="1">
                  <c:v>0.6657535387806599</c:v>
                </c:pt>
                <c:pt idx="2">
                  <c:v>3.5273133209793133</c:v>
                </c:pt>
              </c:numCache>
            </c:numRef>
          </c:xVal>
          <c:yVal>
            <c:numRef>
              <c:f>Prohaska!$S$15:$S$17</c:f>
              <c:numCache>
                <c:formatCode>General</c:formatCode>
                <c:ptCount val="3"/>
                <c:pt idx="0">
                  <c:v>1.3360050587609364</c:v>
                </c:pt>
                <c:pt idx="1">
                  <c:v>2.0085765184568127</c:v>
                </c:pt>
                <c:pt idx="2">
                  <c:v>3.1025368588940694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E-4240-88F9-7A54E13A4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66528"/>
        <c:axId val="124168448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Prohaska!$AF$2</c15:sqref>
                        </c15:formulaRef>
                      </c:ext>
                    </c:extLst>
                    <c:strCache>
                      <c:ptCount val="1"/>
                      <c:pt idx="0">
                        <c:v>24°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Prohaska!$R$30:$R$32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3.4839691312119753E-2</c:v>
                      </c:pt>
                      <c:pt idx="1">
                        <c:v>0.67347152735278293</c:v>
                      </c:pt>
                      <c:pt idx="2">
                        <c:v>3.5361860559732596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Prohaska!$S$30:$S$32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4.0989207225917177</c:v>
                      </c:pt>
                      <c:pt idx="1">
                        <c:v>4.0257365997466819</c:v>
                      </c:pt>
                      <c:pt idx="2">
                        <c:v>5.39434632296018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99DE-4240-88F9-7A54E13A426E}"/>
                  </c:ext>
                </c:extLst>
              </c15:ser>
            </c15:filteredScatterSeries>
            <c15:filteredScatter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Prohaska!$AE$2</c15:sqref>
                        </c15:formulaRef>
                      </c:ext>
                    </c:extLst>
                    <c:strCache>
                      <c:ptCount val="1"/>
                      <c:pt idx="0">
                        <c:v>16°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Prohaska!$R$27:$R$29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3.4249206798396187E-2</c:v>
                      </c:pt>
                      <c:pt idx="1">
                        <c:v>0.67918366308466349</c:v>
                      </c:pt>
                      <c:pt idx="2">
                        <c:v>3.5376377641595202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Prohaska!$S$27:$S$29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1.6047514755507195</c:v>
                      </c:pt>
                      <c:pt idx="1">
                        <c:v>1.8816000788764935</c:v>
                      </c:pt>
                      <c:pt idx="2">
                        <c:v>3.8476100406615408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DE-4240-88F9-7A54E13A426E}"/>
                  </c:ext>
                </c:extLst>
              </c15:ser>
            </c15:filteredScatterSeries>
          </c:ext>
        </c:extLst>
      </c:scatterChart>
      <c:valAx>
        <c:axId val="12416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Fr</a:t>
                </a:r>
                <a:r>
                  <a:rPr lang="en-US"/>
                  <a:t> </a:t>
                </a:r>
                <a:r>
                  <a:rPr lang="en-US" baseline="30000"/>
                  <a:t>4 </a:t>
                </a:r>
                <a:r>
                  <a:rPr lang="en-US"/>
                  <a:t>/ </a:t>
                </a: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i="1" baseline="-25000"/>
                  <a:t>F0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168448"/>
        <c:crosses val="autoZero"/>
        <c:crossBetween val="midCat"/>
      </c:valAx>
      <c:valAx>
        <c:axId val="124168448"/>
        <c:scaling>
          <c:orientation val="minMax"/>
          <c:max val="4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i="1"/>
                </a:pPr>
                <a:r>
                  <a:rPr lang="en-US" i="1"/>
                  <a:t>Ĉ</a:t>
                </a:r>
                <a:r>
                  <a:rPr lang="en-US" i="1" baseline="-25000"/>
                  <a:t>T </a:t>
                </a:r>
                <a:r>
                  <a:rPr lang="en-US" i="1"/>
                  <a:t>/ </a:t>
                </a: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i="1" baseline="-25000"/>
                  <a:t>F0</a:t>
                </a:r>
              </a:p>
            </c:rich>
          </c:tx>
          <c:layout>
            <c:manualLayout>
              <c:xMode val="edge"/>
              <c:yMode val="edge"/>
              <c:x val="0"/>
              <c:y val="0.4381973207546756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4166528"/>
        <c:crosses val="autoZero"/>
        <c:crossBetween val="midCat"/>
        <c:majorUnit val="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731822814149002"/>
          <c:y val="0.15126011592300967"/>
          <c:w val="0.29021521173661585"/>
          <c:h val="0.43227051210785084"/>
        </c:manualLayout>
      </c:layout>
      <c:overlay val="0"/>
      <c:spPr>
        <a:ln>
          <a:noFill/>
        </a:ln>
      </c:spPr>
      <c:txPr>
        <a:bodyPr/>
        <a:lstStyle/>
        <a:p>
          <a:pPr>
            <a:defRPr>
              <a:solidFill>
                <a:schemeClr val="bg1">
                  <a:lumMod val="50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137944491632"/>
          <c:y val="4.6031833956035127E-2"/>
          <c:w val="0.53127109325358313"/>
          <c:h val="0.75606034116381182"/>
        </c:manualLayout>
      </c:layout>
      <c:scatterChart>
        <c:scatterStyle val="lineMarker"/>
        <c:varyColors val="0"/>
        <c:ser>
          <c:idx val="1"/>
          <c:order val="2"/>
          <c:tx>
            <c:strRef>
              <c:f>Prohaska!$AC$2</c:f>
              <c:strCache>
                <c:ptCount val="1"/>
                <c:pt idx="0">
                  <c:v>8°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trendline>
            <c:spPr>
              <a:ln>
                <a:solidFill>
                  <a:schemeClr val="tx1"/>
                </a:solidFill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1.5569081845563524E-2"/>
                  <c:y val="-4.885915870661251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0.2123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+ 1.6758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Prohaska!$R$38:$R$40</c:f>
              <c:numCache>
                <c:formatCode>General</c:formatCode>
                <c:ptCount val="3"/>
                <c:pt idx="0">
                  <c:v>3.4674922664169008E-2</c:v>
                </c:pt>
                <c:pt idx="1">
                  <c:v>0.6823862239780244</c:v>
                </c:pt>
                <c:pt idx="2">
                  <c:v>3.5763134003678503</c:v>
                </c:pt>
              </c:numCache>
            </c:numRef>
          </c:xVal>
          <c:yVal>
            <c:numRef>
              <c:f>Prohaska!$S$38:$S$40</c:f>
              <c:numCache>
                <c:formatCode>General</c:formatCode>
                <c:ptCount val="3"/>
                <c:pt idx="0">
                  <c:v>1.0611119656239307</c:v>
                </c:pt>
                <c:pt idx="1">
                  <c:v>2.5820701191711226</c:v>
                </c:pt>
                <c:pt idx="2">
                  <c:v>2.2959398150274906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B-4210-821F-B0633FF0CD77}"/>
            </c:ext>
          </c:extLst>
        </c:ser>
        <c:ser>
          <c:idx val="0"/>
          <c:order val="3"/>
          <c:tx>
            <c:strRef>
              <c:f>Prohaska!$AA$2</c:f>
              <c:strCache>
                <c:ptCount val="1"/>
                <c:pt idx="0">
                  <c:v>0°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8.1978958349309725E-2"/>
                  <c:y val="0.19199239582851294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0.2905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+ 1.1169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Prohaska!$R$34:$R$36</c:f>
              <c:numCache>
                <c:formatCode>General</c:formatCode>
                <c:ptCount val="3"/>
                <c:pt idx="0">
                  <c:v>3.4226550735368677E-2</c:v>
                </c:pt>
                <c:pt idx="1">
                  <c:v>0.67505579401447724</c:v>
                </c:pt>
                <c:pt idx="2">
                  <c:v>3.5396633209282888</c:v>
                </c:pt>
              </c:numCache>
            </c:numRef>
          </c:xVal>
          <c:yVal>
            <c:numRef>
              <c:f>Prohaska!$S$34:$S$36</c:f>
              <c:numCache>
                <c:formatCode>General</c:formatCode>
                <c:ptCount val="3"/>
                <c:pt idx="0">
                  <c:v>0.47262576206782764</c:v>
                </c:pt>
                <c:pt idx="1">
                  <c:v>2.113586572102212</c:v>
                </c:pt>
                <c:pt idx="2">
                  <c:v>1.9987676327459309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B-4210-821F-B0633FF0C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61504"/>
        <c:axId val="12426380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Prohaska!$AF$2</c15:sqref>
                        </c15:formulaRef>
                      </c:ext>
                    </c:extLst>
                    <c:strCache>
                      <c:ptCount val="1"/>
                      <c:pt idx="0">
                        <c:v>24°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star"/>
                  <c:size val="7"/>
                  <c:spPr>
                    <a:noFill/>
                    <a:ln>
                      <a:solidFill>
                        <a:schemeClr val="accent5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Prohaska!$R$48:$R$50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3.4675482344978248E-2</c:v>
                      </c:pt>
                      <c:pt idx="1">
                        <c:v>0.68003767491790545</c:v>
                      </c:pt>
                      <c:pt idx="2">
                        <c:v>1.6853012524242497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Prohaska!$S$48:$S$50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7.9003537263766761</c:v>
                      </c:pt>
                      <c:pt idx="1">
                        <c:v>9.1362889700015621</c:v>
                      </c:pt>
                      <c:pt idx="2">
                        <c:v>10.056888156221133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B1B-4210-821F-B0633FF0CD77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Prohaska!$AE$2</c15:sqref>
                        </c15:formulaRef>
                      </c:ext>
                    </c:extLst>
                    <c:strCache>
                      <c:ptCount val="1"/>
                      <c:pt idx="0">
                        <c:v>16°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x"/>
                  <c:size val="7"/>
                  <c:spPr>
                    <a:noFill/>
                    <a:ln>
                      <a:solidFill>
                        <a:schemeClr val="accent4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Prohaska!$R$44:$R$46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3.4712109397648815E-2</c:v>
                      </c:pt>
                      <c:pt idx="1">
                        <c:v>0.68422149721297887</c:v>
                      </c:pt>
                      <c:pt idx="2">
                        <c:v>3.5586624782922458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Prohaska!$S$44:$S$46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2.9261752306449704</c:v>
                      </c:pt>
                      <c:pt idx="1">
                        <c:v>4.5058452615010127</c:v>
                      </c:pt>
                      <c:pt idx="2">
                        <c:v>5.0088843975605384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B1B-4210-821F-B0633FF0CD77}"/>
                  </c:ext>
                </c:extLst>
              </c15:ser>
            </c15:filteredScatterSeries>
          </c:ext>
        </c:extLst>
      </c:scatterChart>
      <c:valAx>
        <c:axId val="12426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 i="1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</a:t>
                </a:r>
                <a:r>
                  <a:rPr lang="en-US" sz="14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 b="0" i="0" kern="1200" baseline="3000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4 </a:t>
                </a:r>
                <a:r>
                  <a:rPr lang="en-US" sz="14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 </a:t>
                </a: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sz="1400" b="0" i="1" kern="1200" baseline="-2500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F0</a:t>
                </a:r>
                <a:endParaRPr lang="en-GB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263808"/>
        <c:crosses val="autoZero"/>
        <c:crossBetween val="midCat"/>
      </c:valAx>
      <c:valAx>
        <c:axId val="124263808"/>
        <c:scaling>
          <c:orientation val="minMax"/>
          <c:max val="4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i="1"/>
                </a:pP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i="1" baseline="-25000"/>
                  <a:t>T </a:t>
                </a:r>
                <a:r>
                  <a:rPr lang="en-US" i="1"/>
                  <a:t>/ </a:t>
                </a: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i="1" baseline="-25000"/>
                  <a:t>F0</a:t>
                </a:r>
              </a:p>
            </c:rich>
          </c:tx>
          <c:layout>
            <c:manualLayout>
              <c:xMode val="edge"/>
              <c:yMode val="edge"/>
              <c:x val="0"/>
              <c:y val="0.380973575102268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4261504"/>
        <c:crosses val="autoZero"/>
        <c:crossBetween val="midCat"/>
        <c:majorUnit val="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9502368326408182"/>
          <c:y val="4.8226476966495971E-2"/>
          <c:w val="0.2983935171368885"/>
          <c:h val="0.29893979133719789"/>
        </c:manualLayout>
      </c:layout>
      <c:overlay val="0"/>
      <c:spPr>
        <a:ln>
          <a:noFill/>
        </a:ln>
      </c:spPr>
      <c:txPr>
        <a:bodyPr/>
        <a:lstStyle/>
        <a:p>
          <a:pPr>
            <a:defRPr>
              <a:solidFill>
                <a:schemeClr val="bg1">
                  <a:lumMod val="50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5122993346763"/>
          <c:y val="5.0325246331946669E-2"/>
          <c:w val="0.53456662585199433"/>
          <c:h val="0.73330851127311059"/>
        </c:manualLayout>
      </c:layout>
      <c:scatterChart>
        <c:scatterStyle val="lineMarker"/>
        <c:varyColors val="0"/>
        <c:ser>
          <c:idx val="2"/>
          <c:order val="2"/>
          <c:tx>
            <c:strRef>
              <c:f>Prohaska!$AC$2</c:f>
              <c:strCache>
                <c:ptCount val="1"/>
                <c:pt idx="0">
                  <c:v>8°</c:v>
                </c:pt>
              </c:strCache>
            </c:strRef>
          </c:tx>
          <c:spPr>
            <a:ln w="28575">
              <a:noFill/>
            </a:ln>
          </c:spPr>
          <c:trendline>
            <c:spPr>
              <a:ln>
                <a:solidFill>
                  <a:schemeClr val="tx1"/>
                </a:solidFill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14110436498408149"/>
                  <c:y val="-6.1801369167990589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0.0063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+ 2.0599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Prohaska!$R$59:$R$61</c:f>
              <c:numCache>
                <c:formatCode>General</c:formatCode>
                <c:ptCount val="3"/>
                <c:pt idx="0">
                  <c:v>3.4362834499615684E-2</c:v>
                </c:pt>
                <c:pt idx="1">
                  <c:v>0.68142099068186335</c:v>
                </c:pt>
                <c:pt idx="2">
                  <c:v>3.5081569838498705</c:v>
                </c:pt>
              </c:numCache>
            </c:numRef>
          </c:xVal>
          <c:yVal>
            <c:numRef>
              <c:f>Prohaska!$S$59:$S$61</c:f>
              <c:numCache>
                <c:formatCode>General</c:formatCode>
                <c:ptCount val="3"/>
                <c:pt idx="0">
                  <c:v>2.6922271584049646</c:v>
                </c:pt>
                <c:pt idx="1">
                  <c:v>1.2873964597963161</c:v>
                </c:pt>
                <c:pt idx="2">
                  <c:v>2.2267093395032624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AF-40FC-9A60-381155CFE097}"/>
            </c:ext>
          </c:extLst>
        </c:ser>
        <c:ser>
          <c:idx val="1"/>
          <c:order val="3"/>
          <c:tx>
            <c:strRef>
              <c:f>Prohaska!$AB$2</c:f>
              <c:strCache>
                <c:ptCount val="1"/>
                <c:pt idx="0">
                  <c:v>4°</c:v>
                </c:pt>
              </c:strCache>
            </c:strRef>
          </c:tx>
          <c:spPr>
            <a:ln w="28575">
              <a:noFill/>
            </a:ln>
          </c:spPr>
          <c:trendline>
            <c:spPr>
              <a:ln>
                <a:solidFill>
                  <a:schemeClr val="tx1"/>
                </a:solidFill>
                <a:prstDash val="sysDot"/>
              </a:ln>
            </c:spPr>
            <c:trendlineType val="linear"/>
            <c:dispRSqr val="0"/>
            <c:dispEq val="1"/>
            <c:trendlineLbl>
              <c:layout>
                <c:manualLayout>
                  <c:x val="-4.2005320881655185E-2"/>
                  <c:y val="-1.6269510913490593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0.2234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+ 0.8728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Prohaska!$R$56:$R$58</c:f>
              <c:numCache>
                <c:formatCode>General</c:formatCode>
                <c:ptCount val="3"/>
                <c:pt idx="0">
                  <c:v>3.4334869582828671E-2</c:v>
                </c:pt>
                <c:pt idx="1">
                  <c:v>0.66996185362381455</c:v>
                </c:pt>
                <c:pt idx="2">
                  <c:v>3.542971098678295</c:v>
                </c:pt>
              </c:numCache>
            </c:numRef>
          </c:xVal>
          <c:yVal>
            <c:numRef>
              <c:f>Prohaska!$S$56:$S$58</c:f>
              <c:numCache>
                <c:formatCode>General</c:formatCode>
                <c:ptCount val="3"/>
                <c:pt idx="0">
                  <c:v>0.45300978233443634</c:v>
                </c:pt>
                <c:pt idx="1">
                  <c:v>1.5445132089343225</c:v>
                </c:pt>
                <c:pt idx="2">
                  <c:v>1.5696090328742749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F-40FC-9A60-381155CFE097}"/>
            </c:ext>
          </c:extLst>
        </c:ser>
        <c:ser>
          <c:idx val="0"/>
          <c:order val="4"/>
          <c:tx>
            <c:strRef>
              <c:f>Prohaska!$AA$2</c:f>
              <c:strCache>
                <c:ptCount val="1"/>
                <c:pt idx="0">
                  <c:v>0°</c:v>
                </c:pt>
              </c:strCache>
            </c:strRef>
          </c:tx>
          <c:spPr>
            <a:ln w="28575">
              <a:noFill/>
            </a:ln>
          </c:spPr>
          <c:trendline>
            <c:spPr>
              <a:ln>
                <a:solidFill>
                  <a:schemeClr val="tx1"/>
                </a:solidFill>
              </a:ln>
            </c:spPr>
            <c:trendlineType val="linear"/>
            <c:dispRSqr val="0"/>
            <c:dispEq val="1"/>
            <c:trendlineLbl>
              <c:layout>
                <c:manualLayout>
                  <c:x val="2.6271455404329225E-2"/>
                  <c:y val="0.13915762366721438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i="1" baseline="0"/>
                      <a:t>y</a:t>
                    </a:r>
                    <a:r>
                      <a:rPr lang="en-US" baseline="0"/>
                      <a:t> = 0.2502 </a:t>
                    </a:r>
                    <a:r>
                      <a:rPr lang="en-US" i="1" baseline="0"/>
                      <a:t>x</a:t>
                    </a:r>
                    <a:r>
                      <a:rPr lang="en-US" baseline="0"/>
                      <a:t> + 0.6602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Prohaska!$R$53:$R$55</c:f>
              <c:numCache>
                <c:formatCode>General</c:formatCode>
                <c:ptCount val="3"/>
                <c:pt idx="0">
                  <c:v>3.4726205002416799E-2</c:v>
                </c:pt>
                <c:pt idx="1">
                  <c:v>0.67940649977954026</c:v>
                </c:pt>
                <c:pt idx="2">
                  <c:v>3.5412881618516843</c:v>
                </c:pt>
              </c:numCache>
            </c:numRef>
          </c:xVal>
          <c:yVal>
            <c:numRef>
              <c:f>Prohaska!$S$53:$S$55</c:f>
              <c:numCache>
                <c:formatCode>General</c:formatCode>
                <c:ptCount val="3"/>
                <c:pt idx="0">
                  <c:v>0.64920325400273649</c:v>
                </c:pt>
                <c:pt idx="1">
                  <c:v>0.8542200338698267</c:v>
                </c:pt>
                <c:pt idx="2">
                  <c:v>1.5416946273784469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F-40FC-9A60-381155CF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95808"/>
        <c:axId val="12431065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Prohaska!$AE$2</c15:sqref>
                        </c15:formulaRef>
                      </c:ext>
                    </c:extLst>
                    <c:strCache>
                      <c:ptCount val="1"/>
                      <c:pt idx="0">
                        <c:v>16°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x"/>
                  <c:size val="7"/>
                  <c:spPr>
                    <a:noFill/>
                    <a:ln>
                      <a:solidFill>
                        <a:schemeClr val="accent4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Prohaska!$R$65:$R$67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3.4851000141126603E-2</c:v>
                      </c:pt>
                      <c:pt idx="1">
                        <c:v>0.6775215497681164</c:v>
                      </c:pt>
                      <c:pt idx="2">
                        <c:v>3.5452286381426545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Prohaska!$S$65:$S$67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4.7950621917485901</c:v>
                      </c:pt>
                      <c:pt idx="1">
                        <c:v>5.3074901003584856</c:v>
                      </c:pt>
                      <c:pt idx="2">
                        <c:v>5.7505473670179263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3BAF-40FC-9A60-381155CFE097}"/>
                  </c:ext>
                </c:extLst>
              </c15:ser>
            </c15:filteredScatterSeries>
            <c15:filteredScatter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Prohaska!$AD$2</c15:sqref>
                        </c15:formulaRef>
                      </c:ext>
                    </c:extLst>
                    <c:strCache>
                      <c:ptCount val="1"/>
                      <c:pt idx="0">
                        <c:v>12°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marker>
                  <c:symbol val="circle"/>
                  <c:size val="7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Prohaska!$R$62:$R$64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3.4337105072943845E-2</c:v>
                      </c:pt>
                      <c:pt idx="1">
                        <c:v>0.68094140501024047</c:v>
                      </c:pt>
                      <c:pt idx="2">
                        <c:v>3.5432962650549693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Prohaska!$S$62:$S$64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1.8388195721512315</c:v>
                      </c:pt>
                      <c:pt idx="1">
                        <c:v>3.8982667488492435</c:v>
                      </c:pt>
                      <c:pt idx="2">
                        <c:v>3.4751117932619002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BAF-40FC-9A60-381155CFE097}"/>
                  </c:ext>
                </c:extLst>
              </c15:ser>
            </c15:filteredScatterSeries>
          </c:ext>
        </c:extLst>
      </c:scatterChart>
      <c:valAx>
        <c:axId val="12429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 i="1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</a:t>
                </a:r>
                <a:r>
                  <a:rPr lang="en-US" sz="14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 b="0" i="0" kern="1200" baseline="3000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4 </a:t>
                </a:r>
                <a:r>
                  <a:rPr lang="en-US" sz="14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 </a:t>
                </a: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sz="1400" b="0" i="1" kern="1200" baseline="-2500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F0</a:t>
                </a:r>
                <a:endParaRPr lang="en-GB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10656"/>
        <c:crosses val="autoZero"/>
        <c:crossBetween val="midCat"/>
      </c:valAx>
      <c:valAx>
        <c:axId val="124310656"/>
        <c:scaling>
          <c:orientation val="minMax"/>
          <c:max val="4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sz="1400" b="0" i="1" kern="1200" baseline="-2500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</a:t>
                </a:r>
                <a:r>
                  <a:rPr lang="en-US" sz="1400" b="0" i="1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 </a:t>
                </a:r>
                <a:r>
                  <a:rPr lang="en-US" sz="1400" b="0" i="1" u="none" strike="noStrike" baseline="0">
                    <a:effectLst/>
                  </a:rPr>
                  <a:t>Ĉ</a:t>
                </a:r>
                <a:r>
                  <a:rPr lang="en-US" sz="1400" b="0" i="1" kern="1200" baseline="-2500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F0</a:t>
                </a:r>
                <a:endParaRPr lang="en-GB">
                  <a:effectLst/>
                </a:endParaRPr>
              </a:p>
            </c:rich>
          </c:tx>
          <c:layout>
            <c:manualLayout>
              <c:xMode val="edge"/>
              <c:yMode val="edge"/>
              <c:x val="0"/>
              <c:y val="0.369836178613875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4295808"/>
        <c:crosses val="autoZero"/>
        <c:crossBetween val="midCat"/>
        <c:majorUnit val="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1227476652627708"/>
          <c:y val="5.235813058266825E-2"/>
          <c:w val="0.28046038576573279"/>
          <c:h val="0.46196249374001924"/>
        </c:manualLayout>
      </c:layout>
      <c:overlay val="0"/>
      <c:spPr>
        <a:ln>
          <a:noFill/>
        </a:ln>
      </c:spPr>
      <c:txPr>
        <a:bodyPr/>
        <a:lstStyle/>
        <a:p>
          <a:pPr>
            <a:defRPr>
              <a:solidFill>
                <a:schemeClr val="bg1">
                  <a:lumMod val="50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941876619693"/>
          <c:y val="0.10426536041378674"/>
          <c:w val="0.83394562360660918"/>
          <c:h val="0.521750231194955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 vs speed'!$P$2</c:f>
              <c:strCache>
                <c:ptCount val="1"/>
                <c:pt idx="0">
                  <c:v>U, 0°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speed'!$L$15:$L$19</c:f>
              <c:numCache>
                <c:formatCode>General</c:formatCode>
                <c:ptCount val="5"/>
                <c:pt idx="0">
                  <c:v>0.399157333</c:v>
                </c:pt>
                <c:pt idx="1">
                  <c:v>0.399166519</c:v>
                </c:pt>
                <c:pt idx="2">
                  <c:v>0.80495266099999996</c:v>
                </c:pt>
                <c:pt idx="3">
                  <c:v>1.1953707760000001</c:v>
                </c:pt>
                <c:pt idx="4">
                  <c:v>1.6056720010000001</c:v>
                </c:pt>
              </c:numCache>
            </c:numRef>
          </c:xVal>
          <c:yVal>
            <c:numRef>
              <c:f>'Results vs speed'!$W$15:$W$19</c:f>
              <c:numCache>
                <c:formatCode>General</c:formatCode>
                <c:ptCount val="5"/>
                <c:pt idx="0">
                  <c:v>2.1164224042161798E-3</c:v>
                </c:pt>
                <c:pt idx="1">
                  <c:v>2.5542945502587341E-2</c:v>
                </c:pt>
                <c:pt idx="2">
                  <c:v>3.2671573298939015E-2</c:v>
                </c:pt>
                <c:pt idx="3">
                  <c:v>4.6323059659512451E-2</c:v>
                </c:pt>
                <c:pt idx="4">
                  <c:v>3.9528465429481165E-2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D-4B34-A1E4-DCD2E114A674}"/>
            </c:ext>
          </c:extLst>
        </c:ser>
        <c:ser>
          <c:idx val="1"/>
          <c:order val="1"/>
          <c:tx>
            <c:strRef>
              <c:f>'Results vs speed'!$P$3</c:f>
              <c:strCache>
                <c:ptCount val="1"/>
                <c:pt idx="0">
                  <c:v>U, 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x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speed'!$L$20:$L$23</c:f>
              <c:numCache>
                <c:formatCode>General</c:formatCode>
                <c:ptCount val="4"/>
                <c:pt idx="0">
                  <c:v>0.40036896100000002</c:v>
                </c:pt>
                <c:pt idx="1">
                  <c:v>0.80652782099999998</c:v>
                </c:pt>
                <c:pt idx="2">
                  <c:v>1.1985547809999999</c:v>
                </c:pt>
                <c:pt idx="3">
                  <c:v>1.605772797</c:v>
                </c:pt>
              </c:numCache>
            </c:numRef>
          </c:xVal>
          <c:yVal>
            <c:numRef>
              <c:f>'Results vs speed'!$W$20:$W$23</c:f>
              <c:numCache>
                <c:formatCode>General</c:formatCode>
                <c:ptCount val="4"/>
                <c:pt idx="0">
                  <c:v>1.5256796379051557E-2</c:v>
                </c:pt>
                <c:pt idx="1">
                  <c:v>3.4445146801508147E-2</c:v>
                </c:pt>
                <c:pt idx="2">
                  <c:v>4.9563757405727639E-2</c:v>
                </c:pt>
                <c:pt idx="3">
                  <c:v>4.248894547139271E-2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8D-4B34-A1E4-DCD2E114A674}"/>
            </c:ext>
          </c:extLst>
        </c:ser>
        <c:ser>
          <c:idx val="2"/>
          <c:order val="2"/>
          <c:tx>
            <c:strRef>
              <c:f>'Results vs speed'!$P$4</c:f>
              <c:strCache>
                <c:ptCount val="1"/>
                <c:pt idx="0">
                  <c:v>U, 8°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speed'!$L$25:$L$28</c:f>
              <c:numCache>
                <c:formatCode>General</c:formatCode>
                <c:ptCount val="4"/>
                <c:pt idx="0">
                  <c:v>0.39705455299999998</c:v>
                </c:pt>
                <c:pt idx="1">
                  <c:v>0.80848332000000001</c:v>
                </c:pt>
                <c:pt idx="2">
                  <c:v>1.1940425610000001</c:v>
                </c:pt>
                <c:pt idx="3">
                  <c:v>1.1942638269999999</c:v>
                </c:pt>
              </c:numCache>
            </c:numRef>
          </c:xVal>
          <c:yVal>
            <c:numRef>
              <c:f>'Results vs speed'!$W$25:$W$28</c:f>
              <c:numCache>
                <c:formatCode>General</c:formatCode>
                <c:ptCount val="4"/>
                <c:pt idx="0">
                  <c:v>5.7615968971863316E-2</c:v>
                </c:pt>
                <c:pt idx="1">
                  <c:v>3.7766283633550071E-2</c:v>
                </c:pt>
                <c:pt idx="2">
                  <c:v>5.2473225116269423E-2</c:v>
                </c:pt>
                <c:pt idx="3">
                  <c:v>3.967177639660225E-2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8D-4B34-A1E4-DCD2E114A674}"/>
            </c:ext>
          </c:extLst>
        </c:ser>
        <c:ser>
          <c:idx val="14"/>
          <c:order val="3"/>
          <c:tx>
            <c:strRef>
              <c:f>'Results vs speed'!$P$5</c:f>
              <c:strCache>
                <c:ptCount val="1"/>
                <c:pt idx="0">
                  <c:v>U, 12°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speed'!$L$29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speed'!$W$29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8D-4B34-A1E4-DCD2E114A674}"/>
            </c:ext>
          </c:extLst>
        </c:ser>
        <c:ser>
          <c:idx val="3"/>
          <c:order val="4"/>
          <c:tx>
            <c:strRef>
              <c:f>'Results vs speed'!$P$6</c:f>
              <c:strCache>
                <c:ptCount val="1"/>
                <c:pt idx="0">
                  <c:v>U, 16°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7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'Results vs speed'!$L$30:$L$32</c:f>
              <c:numCache>
                <c:formatCode>General</c:formatCode>
                <c:ptCount val="3"/>
                <c:pt idx="0">
                  <c:v>0.399162872</c:v>
                </c:pt>
                <c:pt idx="1">
                  <c:v>0.808770145</c:v>
                </c:pt>
                <c:pt idx="2">
                  <c:v>1.1962005280000001</c:v>
                </c:pt>
              </c:numCache>
            </c:numRef>
          </c:xVal>
          <c:yVal>
            <c:numRef>
              <c:f>'Results vs speed'!$W$30:$W$32</c:f>
              <c:numCache>
                <c:formatCode>General</c:formatCode>
                <c:ptCount val="3"/>
                <c:pt idx="0">
                  <c:v>3.0681148310158401E-2</c:v>
                </c:pt>
                <c:pt idx="1">
                  <c:v>3.0574145360764287E-2</c:v>
                </c:pt>
                <c:pt idx="2">
                  <c:v>5.7439074858321421E-2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8D-4B34-A1E4-DCD2E114A674}"/>
            </c:ext>
          </c:extLst>
        </c:ser>
        <c:ser>
          <c:idx val="4"/>
          <c:order val="5"/>
          <c:tx>
            <c:strRef>
              <c:f>'Results vs speed'!$P$7</c:f>
              <c:strCache>
                <c:ptCount val="1"/>
                <c:pt idx="0">
                  <c:v>U, 24°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'Results vs speed'!$L$33:$L$35</c:f>
              <c:numCache>
                <c:formatCode>General</c:formatCode>
                <c:ptCount val="3"/>
                <c:pt idx="0">
                  <c:v>0.40077541500000002</c:v>
                </c:pt>
                <c:pt idx="1">
                  <c:v>0.80715357399999998</c:v>
                </c:pt>
                <c:pt idx="2">
                  <c:v>1.196083969</c:v>
                </c:pt>
              </c:numCache>
            </c:numRef>
          </c:xVal>
          <c:yVal>
            <c:numRef>
              <c:f>'Results vs speed'!$W$33:$W$35</c:f>
              <c:numCache>
                <c:formatCode>General</c:formatCode>
                <c:ptCount val="3"/>
                <c:pt idx="0">
                  <c:v>7.8291263049068457E-2</c:v>
                </c:pt>
                <c:pt idx="1">
                  <c:v>6.5443211307168042E-2</c:v>
                </c:pt>
                <c:pt idx="2">
                  <c:v>8.0531202773615113E-2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8D-4B34-A1E4-DCD2E114A674}"/>
            </c:ext>
          </c:extLst>
        </c:ser>
        <c:ser>
          <c:idx val="5"/>
          <c:order val="6"/>
          <c:tx>
            <c:strRef>
              <c:f>'Results vs speed'!$Q$2</c:f>
              <c:strCache>
                <c:ptCount val="1"/>
                <c:pt idx="0">
                  <c:v>V1, 0°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speed'!$L$37:$L$40</c:f>
              <c:numCache>
                <c:formatCode>General</c:formatCode>
                <c:ptCount val="4"/>
                <c:pt idx="0">
                  <c:v>0.39910057999999998</c:v>
                </c:pt>
                <c:pt idx="1">
                  <c:v>0.807602975</c:v>
                </c:pt>
                <c:pt idx="2">
                  <c:v>1.196363101</c:v>
                </c:pt>
                <c:pt idx="3">
                  <c:v>1.6066748719999999</c:v>
                </c:pt>
              </c:numCache>
            </c:numRef>
          </c:xVal>
          <c:yVal>
            <c:numRef>
              <c:f>'Results vs speed'!$W$37:$W$40</c:f>
              <c:numCache>
                <c:formatCode>General</c:formatCode>
                <c:ptCount val="4"/>
                <c:pt idx="0">
                  <c:v>7.1515402487930362E-3</c:v>
                </c:pt>
                <c:pt idx="1">
                  <c:v>2.718866649002943E-2</c:v>
                </c:pt>
                <c:pt idx="2">
                  <c:v>2.3613930823061697E-2</c:v>
                </c:pt>
                <c:pt idx="3">
                  <c:v>1.9684552264690788E-2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8D-4B34-A1E4-DCD2E114A674}"/>
            </c:ext>
          </c:extLst>
        </c:ser>
        <c:ser>
          <c:idx val="15"/>
          <c:order val="7"/>
          <c:tx>
            <c:strRef>
              <c:f>'Results vs speed'!$Q$3</c:f>
              <c:strCache>
                <c:ptCount val="1"/>
                <c:pt idx="0">
                  <c:v>V1, 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x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speed'!$L$41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speed'!$W$41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8D-4B34-A1E4-DCD2E114A674}"/>
            </c:ext>
          </c:extLst>
        </c:ser>
        <c:ser>
          <c:idx val="6"/>
          <c:order val="8"/>
          <c:tx>
            <c:strRef>
              <c:f>'Results vs speed'!$Q$4</c:f>
              <c:strCache>
                <c:ptCount val="1"/>
                <c:pt idx="0">
                  <c:v>V1, 8°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diamond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speed'!$L$42:$L$47</c:f>
              <c:numCache>
                <c:formatCode>General</c:formatCode>
                <c:ptCount val="6"/>
                <c:pt idx="0">
                  <c:v>0.400327561</c:v>
                </c:pt>
                <c:pt idx="1">
                  <c:v>0.80967196399999997</c:v>
                </c:pt>
                <c:pt idx="2">
                  <c:v>1.199292507</c:v>
                </c:pt>
                <c:pt idx="3">
                  <c:v>1.60563737</c:v>
                </c:pt>
                <c:pt idx="4">
                  <c:v>1.603580877</c:v>
                </c:pt>
                <c:pt idx="5">
                  <c:v>1.6035679039999999</c:v>
                </c:pt>
              </c:numCache>
            </c:numRef>
          </c:xVal>
          <c:yVal>
            <c:numRef>
              <c:f>'Results vs speed'!$W$42:$W$47</c:f>
              <c:numCache>
                <c:formatCode>General</c:formatCode>
                <c:ptCount val="6"/>
                <c:pt idx="0">
                  <c:v>1.6044403235122417E-2</c:v>
                </c:pt>
                <c:pt idx="1">
                  <c:v>3.3196330690607713E-2</c:v>
                </c:pt>
                <c:pt idx="2">
                  <c:v>2.7110735857634509E-2</c:v>
                </c:pt>
                <c:pt idx="3">
                  <c:v>2.6750233809232239E-2</c:v>
                </c:pt>
                <c:pt idx="4">
                  <c:v>2.8772989868690917E-2</c:v>
                </c:pt>
                <c:pt idx="5">
                  <c:v>2.6094081613614636E-2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8D-4B34-A1E4-DCD2E114A674}"/>
            </c:ext>
          </c:extLst>
        </c:ser>
        <c:ser>
          <c:idx val="16"/>
          <c:order val="9"/>
          <c:tx>
            <c:strRef>
              <c:f>'Results vs speed'!$Q$5</c:f>
              <c:strCache>
                <c:ptCount val="1"/>
                <c:pt idx="0">
                  <c:v>V1, 12°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triangl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speed'!$L$48</c:f>
              <c:numCache>
                <c:formatCode>General</c:formatCode>
                <c:ptCount val="1"/>
                <c:pt idx="0">
                  <c:v>-10</c:v>
                </c:pt>
              </c:numCache>
            </c:numRef>
          </c:xVal>
          <c:yVal>
            <c:numRef>
              <c:f>'Results vs speed'!$W$48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28D-4B34-A1E4-DCD2E114A674}"/>
            </c:ext>
          </c:extLst>
        </c:ser>
        <c:ser>
          <c:idx val="7"/>
          <c:order val="10"/>
          <c:tx>
            <c:strRef>
              <c:f>'Results vs speed'!$Q$6</c:f>
              <c:strCache>
                <c:ptCount val="1"/>
                <c:pt idx="0">
                  <c:v>V1, 16°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square"/>
            <c:size val="7"/>
            <c:spPr>
              <a:noFill/>
              <a:ln w="19050">
                <a:solidFill>
                  <a:srgbClr val="C00000"/>
                </a:solidFill>
              </a:ln>
            </c:spPr>
          </c:marker>
          <c:xVal>
            <c:numRef>
              <c:f>'Results vs speed'!$L$49:$L$52</c:f>
              <c:numCache>
                <c:formatCode>General</c:formatCode>
                <c:ptCount val="4"/>
                <c:pt idx="0">
                  <c:v>0.40042877900000001</c:v>
                </c:pt>
                <c:pt idx="1">
                  <c:v>0.81018731200000005</c:v>
                </c:pt>
                <c:pt idx="2">
                  <c:v>1.197884553</c:v>
                </c:pt>
                <c:pt idx="3">
                  <c:v>1.6058393099999999</c:v>
                </c:pt>
              </c:numCache>
            </c:numRef>
          </c:xVal>
          <c:yVal>
            <c:numRef>
              <c:f>'Results vs speed'!$W$49:$W$52</c:f>
              <c:numCache>
                <c:formatCode>General</c:formatCode>
                <c:ptCount val="4"/>
                <c:pt idx="0">
                  <c:v>4.4242162903788206E-2</c:v>
                </c:pt>
                <c:pt idx="1">
                  <c:v>5.7921153700757039E-2</c:v>
                </c:pt>
                <c:pt idx="2">
                  <c:v>5.9160244858655661E-2</c:v>
                </c:pt>
                <c:pt idx="3">
                  <c:v>5.6265355989392668E-2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28D-4B34-A1E4-DCD2E114A674}"/>
            </c:ext>
          </c:extLst>
        </c:ser>
        <c:ser>
          <c:idx val="8"/>
          <c:order val="11"/>
          <c:tx>
            <c:strRef>
              <c:f>'Results vs speed'!$Q$7</c:f>
              <c:strCache>
                <c:ptCount val="1"/>
                <c:pt idx="0">
                  <c:v>V1, 24°</c:v>
                </c:pt>
              </c:strCache>
            </c:strRef>
          </c:tx>
          <c:spPr>
            <a:ln>
              <a:solidFill>
                <a:srgbClr val="C0000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'Results vs speed'!$L$53:$L$56</c:f>
              <c:numCache>
                <c:formatCode>General</c:formatCode>
                <c:ptCount val="4"/>
                <c:pt idx="0">
                  <c:v>0.40032908499999997</c:v>
                </c:pt>
                <c:pt idx="1">
                  <c:v>0.80901094500000004</c:v>
                </c:pt>
                <c:pt idx="2">
                  <c:v>1.003192364</c:v>
                </c:pt>
                <c:pt idx="3">
                  <c:v>1.194729685</c:v>
                </c:pt>
              </c:numCache>
            </c:numRef>
          </c:xVal>
          <c:yVal>
            <c:numRef>
              <c:f>'Results vs speed'!$W$53:$W$56</c:f>
              <c:numCache>
                <c:formatCode>General</c:formatCode>
                <c:ptCount val="4"/>
                <c:pt idx="0">
                  <c:v>0.11945614529213117</c:v>
                </c:pt>
                <c:pt idx="1">
                  <c:v>0.11748173110179608</c:v>
                </c:pt>
                <c:pt idx="2">
                  <c:v>0.12337831735230335</c:v>
                </c:pt>
                <c:pt idx="3">
                  <c:v>0.11299519359940341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28D-4B34-A1E4-DCD2E114A674}"/>
            </c:ext>
          </c:extLst>
        </c:ser>
        <c:ser>
          <c:idx val="9"/>
          <c:order val="12"/>
          <c:tx>
            <c:strRef>
              <c:f>'Results vs speed'!$R$2</c:f>
              <c:strCache>
                <c:ptCount val="1"/>
                <c:pt idx="0">
                  <c:v>V2, 0°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circ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speed'!$L$58:$L$60</c:f>
              <c:numCache>
                <c:formatCode>General</c:formatCode>
                <c:ptCount val="3"/>
                <c:pt idx="0">
                  <c:v>0.40046712400000001</c:v>
                </c:pt>
                <c:pt idx="1">
                  <c:v>0.80883299900000005</c:v>
                </c:pt>
                <c:pt idx="2">
                  <c:v>1.196493461</c:v>
                </c:pt>
              </c:numCache>
            </c:numRef>
          </c:xVal>
          <c:yVal>
            <c:numRef>
              <c:f>'Results vs speed'!$W$58:$W$60</c:f>
              <c:numCache>
                <c:formatCode>General</c:formatCode>
                <c:ptCount val="3"/>
                <c:pt idx="0">
                  <c:v>8.4457846231607084E-3</c:v>
                </c:pt>
                <c:pt idx="1">
                  <c:v>9.4520207090839931E-3</c:v>
                </c:pt>
                <c:pt idx="2">
                  <c:v>1.5672113664844924E-2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28D-4B34-A1E4-DCD2E114A674}"/>
            </c:ext>
          </c:extLst>
        </c:ser>
        <c:ser>
          <c:idx val="10"/>
          <c:order val="13"/>
          <c:tx>
            <c:strRef>
              <c:f>'Results vs speed'!$R$3</c:f>
              <c:strCache>
                <c:ptCount val="1"/>
                <c:pt idx="0">
                  <c:v>V2, 4°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x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speed'!$L$61:$L$63</c:f>
              <c:numCache>
                <c:formatCode>General</c:formatCode>
                <c:ptCount val="3"/>
                <c:pt idx="0">
                  <c:v>0.399398115</c:v>
                </c:pt>
                <c:pt idx="1">
                  <c:v>0.80615512700000003</c:v>
                </c:pt>
                <c:pt idx="2">
                  <c:v>1.196628434</c:v>
                </c:pt>
              </c:numCache>
            </c:numRef>
          </c:xVal>
          <c:yVal>
            <c:numRef>
              <c:f>'Results vs speed'!$W$61:$W$63</c:f>
              <c:numCache>
                <c:formatCode>General</c:formatCode>
                <c:ptCount val="3"/>
                <c:pt idx="0">
                  <c:v>5.8971935944810107E-3</c:v>
                </c:pt>
                <c:pt idx="1">
                  <c:v>1.7102720420880384E-2</c:v>
                </c:pt>
                <c:pt idx="2">
                  <c:v>1.5955496248746145E-2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28D-4B34-A1E4-DCD2E114A674}"/>
            </c:ext>
          </c:extLst>
        </c:ser>
        <c:ser>
          <c:idx val="11"/>
          <c:order val="14"/>
          <c:tx>
            <c:strRef>
              <c:f>'Results vs speed'!$R$4</c:f>
              <c:strCache>
                <c:ptCount val="1"/>
                <c:pt idx="0">
                  <c:v>V2, 8°</c:v>
                </c:pt>
              </c:strCache>
            </c:strRef>
          </c:tx>
          <c:spPr>
            <a:ln>
              <a:prstDash val="dash"/>
            </a:ln>
          </c:spPr>
          <c:marker>
            <c:symbol val="diamond"/>
            <c:size val="7"/>
            <c:spPr>
              <a:noFill/>
              <a:ln>
                <a:solidFill>
                  <a:schemeClr val="accent6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'Results vs speed'!$L$64:$L$66</c:f>
              <c:numCache>
                <c:formatCode>General</c:formatCode>
                <c:ptCount val="3"/>
                <c:pt idx="0">
                  <c:v>0.39947481400000001</c:v>
                </c:pt>
                <c:pt idx="1">
                  <c:v>0.80940050100000005</c:v>
                </c:pt>
                <c:pt idx="2">
                  <c:v>1.1938263140000001</c:v>
                </c:pt>
              </c:numCache>
            </c:numRef>
          </c:xVal>
          <c:yVal>
            <c:numRef>
              <c:f>'Results vs speed'!$W$64:$W$66</c:f>
              <c:numCache>
                <c:formatCode>General</c:formatCode>
                <c:ptCount val="3"/>
                <c:pt idx="0">
                  <c:v>3.5045276993580336E-2</c:v>
                </c:pt>
                <c:pt idx="1">
                  <c:v>1.4242946469015361E-2</c:v>
                </c:pt>
                <c:pt idx="2">
                  <c:v>2.2646352566006406E-2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28D-4B34-A1E4-DCD2E114A674}"/>
            </c:ext>
          </c:extLst>
        </c:ser>
        <c:ser>
          <c:idx val="13"/>
          <c:order val="15"/>
          <c:tx>
            <c:strRef>
              <c:f>'Results vs speed'!$R$5</c:f>
              <c:strCache>
                <c:ptCount val="1"/>
                <c:pt idx="0">
                  <c:v>V2, 12°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triangl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speed'!$L$67:$L$69</c:f>
              <c:numCache>
                <c:formatCode>General</c:formatCode>
                <c:ptCount val="3"/>
                <c:pt idx="0">
                  <c:v>0.39940424800000002</c:v>
                </c:pt>
                <c:pt idx="1">
                  <c:v>0.80926551300000005</c:v>
                </c:pt>
                <c:pt idx="2">
                  <c:v>1.1966545070000001</c:v>
                </c:pt>
              </c:numCache>
            </c:numRef>
          </c:xVal>
          <c:yVal>
            <c:numRef>
              <c:f>'Results vs speed'!$W$67:$W$69</c:f>
              <c:numCache>
                <c:formatCode>General</c:formatCode>
                <c:ptCount val="3"/>
                <c:pt idx="0">
                  <c:v>2.3937308800600323E-2</c:v>
                </c:pt>
                <c:pt idx="1">
                  <c:v>4.3129567944566648E-2</c:v>
                </c:pt>
                <c:pt idx="2">
                  <c:v>3.5325279014754601E-2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28D-4B34-A1E4-DCD2E114A674}"/>
            </c:ext>
          </c:extLst>
        </c:ser>
        <c:ser>
          <c:idx val="12"/>
          <c:order val="16"/>
          <c:tx>
            <c:strRef>
              <c:f>'Results vs speed'!$R$6</c:f>
              <c:strCache>
                <c:ptCount val="1"/>
                <c:pt idx="0">
                  <c:v>V2, 16°</c:v>
                </c:pt>
              </c:strCache>
            </c:strRef>
          </c:tx>
          <c:spPr>
            <a:ln>
              <a:solidFill>
                <a:schemeClr val="accent6"/>
              </a:solidFill>
              <a:prstDash val="dash"/>
            </a:ln>
          </c:spPr>
          <c:marker>
            <c:symbol val="square"/>
            <c:size val="7"/>
            <c:spPr>
              <a:noFill/>
              <a:ln w="19050">
                <a:solidFill>
                  <a:schemeClr val="accent6"/>
                </a:solidFill>
              </a:ln>
            </c:spPr>
          </c:marker>
          <c:xVal>
            <c:numRef>
              <c:f>'Results vs speed'!$L$70:$L$72</c:f>
              <c:numCache>
                <c:formatCode>General</c:formatCode>
                <c:ptCount val="3"/>
                <c:pt idx="0">
                  <c:v>0.400806094</c:v>
                </c:pt>
                <c:pt idx="1">
                  <c:v>0.80830082800000003</c:v>
                </c:pt>
                <c:pt idx="2">
                  <c:v>1.1968094140000001</c:v>
                </c:pt>
              </c:numCache>
            </c:numRef>
          </c:xVal>
          <c:yVal>
            <c:numRef>
              <c:f>'Results vs speed'!$W$70:$W$72</c:f>
              <c:numCache>
                <c:formatCode>General</c:formatCode>
                <c:ptCount val="3"/>
                <c:pt idx="0">
                  <c:v>6.2368518272968056E-2</c:v>
                </c:pt>
                <c:pt idx="1">
                  <c:v>5.8736401763915161E-2</c:v>
                </c:pt>
                <c:pt idx="2">
                  <c:v>5.8453979969504459E-2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28D-4B34-A1E4-DCD2E114A674}"/>
            </c:ext>
          </c:extLst>
        </c:ser>
        <c:ser>
          <c:idx val="18"/>
          <c:order val="17"/>
          <c:tx>
            <c:strRef>
              <c:f>Prohaska!$E$5</c:f>
              <c:strCache>
                <c:ptCount val="1"/>
                <c:pt idx="0">
                  <c:v>Prohaska corr.</c:v>
                </c:pt>
              </c:strCache>
            </c:strRef>
          </c:tx>
          <c:spPr>
            <a:ln>
              <a:noFill/>
            </a:ln>
          </c:spPr>
          <c:marker>
            <c:symbol val="plus"/>
            <c:size val="9"/>
            <c:spPr>
              <a:noFill/>
              <a:ln w="25400">
                <a:solidFill>
                  <a:srgbClr val="0070C0"/>
                </a:solidFill>
              </a:ln>
            </c:spPr>
          </c:marker>
          <c:xVal>
            <c:numRef>
              <c:f>Prohaska!$J$15:$J$67</c:f>
              <c:numCache>
                <c:formatCode>General</c:formatCode>
                <c:ptCount val="53"/>
                <c:pt idx="0">
                  <c:v>0.399166519</c:v>
                </c:pt>
                <c:pt idx="1">
                  <c:v>0.80495266099999996</c:v>
                </c:pt>
                <c:pt idx="2">
                  <c:v>1.1953707760000001</c:v>
                </c:pt>
                <c:pt idx="3">
                  <c:v>1.6056720010000001</c:v>
                </c:pt>
                <c:pt idx="4">
                  <c:v>0.40036896100000002</c:v>
                </c:pt>
                <c:pt idx="5">
                  <c:v>0.80652782099999998</c:v>
                </c:pt>
                <c:pt idx="6">
                  <c:v>1.1985547809999999</c:v>
                </c:pt>
                <c:pt idx="7">
                  <c:v>1.605772797</c:v>
                </c:pt>
                <c:pt idx="8">
                  <c:v>0.39705455299999998</c:v>
                </c:pt>
                <c:pt idx="9">
                  <c:v>0.80848332000000001</c:v>
                </c:pt>
                <c:pt idx="10">
                  <c:v>1.1940425610000001</c:v>
                </c:pt>
                <c:pt idx="11">
                  <c:v>1.1942638269999999</c:v>
                </c:pt>
                <c:pt idx="12">
                  <c:v>0.399162872</c:v>
                </c:pt>
                <c:pt idx="13">
                  <c:v>0.808770145</c:v>
                </c:pt>
                <c:pt idx="14">
                  <c:v>1.1962005280000001</c:v>
                </c:pt>
                <c:pt idx="15">
                  <c:v>0.40077541500000002</c:v>
                </c:pt>
                <c:pt idx="16">
                  <c:v>0.80715357399999998</c:v>
                </c:pt>
                <c:pt idx="17">
                  <c:v>1.196083969</c:v>
                </c:pt>
                <c:pt idx="19">
                  <c:v>0.39910057999999998</c:v>
                </c:pt>
                <c:pt idx="20">
                  <c:v>0.807602975</c:v>
                </c:pt>
                <c:pt idx="21">
                  <c:v>1.196363101</c:v>
                </c:pt>
                <c:pt idx="22">
                  <c:v>1.6066748719999999</c:v>
                </c:pt>
                <c:pt idx="23">
                  <c:v>0.400327561</c:v>
                </c:pt>
                <c:pt idx="24">
                  <c:v>0.80967196399999997</c:v>
                </c:pt>
                <c:pt idx="25">
                  <c:v>1.199292507</c:v>
                </c:pt>
                <c:pt idx="26">
                  <c:v>1.60563737</c:v>
                </c:pt>
                <c:pt idx="27">
                  <c:v>1.603580877</c:v>
                </c:pt>
                <c:pt idx="28">
                  <c:v>1.6035679039999999</c:v>
                </c:pt>
                <c:pt idx="29">
                  <c:v>0.40042877900000001</c:v>
                </c:pt>
                <c:pt idx="30">
                  <c:v>0.81018731200000005</c:v>
                </c:pt>
                <c:pt idx="31">
                  <c:v>1.197884553</c:v>
                </c:pt>
                <c:pt idx="32">
                  <c:v>1.6058393099999999</c:v>
                </c:pt>
                <c:pt idx="33">
                  <c:v>0.40032908499999997</c:v>
                </c:pt>
                <c:pt idx="34">
                  <c:v>0.80901094500000004</c:v>
                </c:pt>
                <c:pt idx="35">
                  <c:v>1.003192364</c:v>
                </c:pt>
                <c:pt idx="36">
                  <c:v>1.194729685</c:v>
                </c:pt>
                <c:pt idx="38">
                  <c:v>0.40046712400000001</c:v>
                </c:pt>
                <c:pt idx="39">
                  <c:v>0.80883299900000005</c:v>
                </c:pt>
                <c:pt idx="40">
                  <c:v>1.196493461</c:v>
                </c:pt>
                <c:pt idx="41">
                  <c:v>0.399398115</c:v>
                </c:pt>
                <c:pt idx="42">
                  <c:v>0.80615512700000003</c:v>
                </c:pt>
                <c:pt idx="43">
                  <c:v>1.196628434</c:v>
                </c:pt>
                <c:pt idx="44">
                  <c:v>0.39947481400000001</c:v>
                </c:pt>
                <c:pt idx="45">
                  <c:v>0.80940050100000005</c:v>
                </c:pt>
                <c:pt idx="46">
                  <c:v>1.1938263140000001</c:v>
                </c:pt>
                <c:pt idx="47">
                  <c:v>0.39940424800000002</c:v>
                </c:pt>
                <c:pt idx="48">
                  <c:v>0.80926551300000005</c:v>
                </c:pt>
                <c:pt idx="49">
                  <c:v>1.1966545070000001</c:v>
                </c:pt>
                <c:pt idx="50">
                  <c:v>0.400806094</c:v>
                </c:pt>
                <c:pt idx="51">
                  <c:v>0.80830082800000003</c:v>
                </c:pt>
                <c:pt idx="52">
                  <c:v>1.1968094140000001</c:v>
                </c:pt>
              </c:numCache>
            </c:numRef>
          </c:xVal>
          <c:yVal>
            <c:numRef>
              <c:f>Prohaska!$AA$15:$AA$67</c:f>
              <c:numCache>
                <c:formatCode>General</c:formatCode>
                <c:ptCount val="53"/>
                <c:pt idx="0">
                  <c:v>1.3733115057444794E-2</c:v>
                </c:pt>
                <c:pt idx="1">
                  <c:v>2.3174734080915971E-2</c:v>
                </c:pt>
                <c:pt idx="2">
                  <c:v>3.7867524311592161E-2</c:v>
                </c:pt>
                <c:pt idx="3">
                  <c:v>3.175251500832376E-2</c:v>
                </c:pt>
                <c:pt idx="4">
                  <c:v>3.4584163320943175E-3</c:v>
                </c:pt>
                <c:pt idx="5">
                  <c:v>2.4953866836881812E-2</c:v>
                </c:pt>
                <c:pt idx="6">
                  <c:v>4.1114696535532499E-2</c:v>
                </c:pt>
                <c:pt idx="7">
                  <c:v>3.4713131697461784E-2</c:v>
                </c:pt>
                <c:pt idx="8">
                  <c:v>4.5785907014147524E-2</c:v>
                </c:pt>
                <c:pt idx="9">
                  <c:v>2.8281884135753586E-2</c:v>
                </c:pt>
                <c:pt idx="10">
                  <c:v>4.4014981858304034E-2</c:v>
                </c:pt>
                <c:pt idx="11">
                  <c:v>3.121398453628588E-2</c:v>
                </c:pt>
                <c:pt idx="12">
                  <c:v>2.3299982529373934E-2</c:v>
                </c:pt>
                <c:pt idx="13">
                  <c:v>2.4647025199406061E-2</c:v>
                </c:pt>
                <c:pt idx="14">
                  <c:v>5.2155421234329633E-2</c:v>
                </c:pt>
                <c:pt idx="15">
                  <c:v>7.0919687629815445E-2</c:v>
                </c:pt>
                <c:pt idx="16">
                  <c:v>5.9512538995821485E-2</c:v>
                </c:pt>
                <c:pt idx="17">
                  <c:v>7.5247400874254189E-2</c:v>
                </c:pt>
                <c:pt idx="19">
                  <c:v>-1.0270220107559903E-3</c:v>
                </c:pt>
                <c:pt idx="20">
                  <c:v>2.061872232378394E-2</c:v>
                </c:pt>
                <c:pt idx="21">
                  <c:v>1.7760001371304252E-2</c:v>
                </c:pt>
                <c:pt idx="22">
                  <c:v>1.4300766981312631E-2</c:v>
                </c:pt>
                <c:pt idx="23">
                  <c:v>7.8739335737287291E-3</c:v>
                </c:pt>
                <c:pt idx="24">
                  <c:v>2.6631417780847124E-2</c:v>
                </c:pt>
                <c:pt idx="25">
                  <c:v>2.1260927248109379E-2</c:v>
                </c:pt>
                <c:pt idx="26">
                  <c:v>2.1365474892560615E-2</c:v>
                </c:pt>
                <c:pt idx="27">
                  <c:v>2.3386298498425363E-2</c:v>
                </c:pt>
                <c:pt idx="28">
                  <c:v>2.0707378042016417E-2</c:v>
                </c:pt>
                <c:pt idx="29">
                  <c:v>3.8406588860617229E-2</c:v>
                </c:pt>
                <c:pt idx="30">
                  <c:v>5.3232823332784382E-2</c:v>
                </c:pt>
                <c:pt idx="31">
                  <c:v>5.498039667413248E-2</c:v>
                </c:pt>
                <c:pt idx="32">
                  <c:v>5.2419235032004775E-2</c:v>
                </c:pt>
                <c:pt idx="33">
                  <c:v>0.11362010269792491</c:v>
                </c:pt>
                <c:pt idx="34">
                  <c:v>0.11279136082991929</c:v>
                </c:pt>
                <c:pt idx="35">
                  <c:v>0.11897748466673738</c:v>
                </c:pt>
                <c:pt idx="36">
                  <c:v>0.10881216982806491</c:v>
                </c:pt>
                <c:pt idx="38">
                  <c:v>2.4204011849994684E-3</c:v>
                </c:pt>
                <c:pt idx="39">
                  <c:v>4.6086217163230714E-3</c:v>
                </c:pt>
                <c:pt idx="40">
                  <c:v>1.135473305991022E-2</c:v>
                </c:pt>
                <c:pt idx="41">
                  <c:v>-1.3338594810957463E-4</c:v>
                </c:pt>
                <c:pt idx="42">
                  <c:v>1.2254509094294022E-2</c:v>
                </c:pt>
                <c:pt idx="43">
                  <c:v>1.1638255885179482E-2</c:v>
                </c:pt>
                <c:pt idx="44">
                  <c:v>2.9015070922797367E-2</c:v>
                </c:pt>
                <c:pt idx="45">
                  <c:v>9.4005644536194147E-3</c:v>
                </c:pt>
                <c:pt idx="46">
                  <c:v>1.8326196204051862E-2</c:v>
                </c:pt>
                <c:pt idx="47">
                  <c:v>1.8911850737861703E-2</c:v>
                </c:pt>
                <c:pt idx="48">
                  <c:v>3.9094048089057719E-2</c:v>
                </c:pt>
                <c:pt idx="49">
                  <c:v>3.1727601285261864E-2</c:v>
                </c:pt>
                <c:pt idx="50">
                  <c:v>5.7348734971842244E-2</c:v>
                </c:pt>
                <c:pt idx="51">
                  <c:v>5.4699440459986912E-2</c:v>
                </c:pt>
                <c:pt idx="52">
                  <c:v>5.4856436341330118E-2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28D-4B34-A1E4-DCD2E114A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39936"/>
        <c:axId val="124479360"/>
      </c:scatterChart>
      <c:valAx>
        <c:axId val="124439936"/>
        <c:scaling>
          <c:orientation val="minMax"/>
          <c:max val="1.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V</a:t>
                </a:r>
                <a:r>
                  <a:rPr lang="en-US"/>
                  <a:t> [m/s]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24479360"/>
        <c:crosses val="autoZero"/>
        <c:crossBetween val="midCat"/>
        <c:majorUnit val="0.2"/>
      </c:valAx>
      <c:valAx>
        <c:axId val="124479360"/>
        <c:scaling>
          <c:orientation val="minMax"/>
          <c:max val="0.15000000000000002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i="1"/>
                </a:pPr>
                <a:r>
                  <a:rPr lang="en-US" i="1"/>
                  <a:t>C</a:t>
                </a:r>
                <a:r>
                  <a:rPr lang="en-US" i="1" baseline="-25000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439936"/>
        <c:crosses val="autoZero"/>
        <c:crossBetween val="midCat"/>
        <c:majorUnit val="5.000000000000001E-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1.3868542596354975E-2"/>
          <c:y val="0.7468516060776732"/>
          <c:w val="0.96779396805757978"/>
          <c:h val="0.18449957004394757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226219</xdr:colOff>
      <xdr:row>5</xdr:row>
      <xdr:rowOff>88106</xdr:rowOff>
    </xdr:from>
    <xdr:to>
      <xdr:col>41</xdr:col>
      <xdr:colOff>130969</xdr:colOff>
      <xdr:row>38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41</xdr:row>
      <xdr:rowOff>0</xdr:rowOff>
    </xdr:from>
    <xdr:to>
      <xdr:col>41</xdr:col>
      <xdr:colOff>511969</xdr:colOff>
      <xdr:row>69</xdr:row>
      <xdr:rowOff>126206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57</xdr:col>
      <xdr:colOff>511969</xdr:colOff>
      <xdr:row>37</xdr:row>
      <xdr:rowOff>126206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41</xdr:row>
      <xdr:rowOff>0</xdr:rowOff>
    </xdr:from>
    <xdr:to>
      <xdr:col>57</xdr:col>
      <xdr:colOff>511969</xdr:colOff>
      <xdr:row>67</xdr:row>
      <xdr:rowOff>126206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5</xdr:row>
      <xdr:rowOff>0</xdr:rowOff>
    </xdr:from>
    <xdr:to>
      <xdr:col>73</xdr:col>
      <xdr:colOff>511969</xdr:colOff>
      <xdr:row>37</xdr:row>
      <xdr:rowOff>126206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0</xdr:colOff>
      <xdr:row>40</xdr:row>
      <xdr:rowOff>0</xdr:rowOff>
    </xdr:from>
    <xdr:to>
      <xdr:col>73</xdr:col>
      <xdr:colOff>511969</xdr:colOff>
      <xdr:row>66</xdr:row>
      <xdr:rowOff>126206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41</xdr:col>
      <xdr:colOff>511969</xdr:colOff>
      <xdr:row>105</xdr:row>
      <xdr:rowOff>126206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59</xdr:col>
      <xdr:colOff>30957</xdr:colOff>
      <xdr:row>67</xdr:row>
      <xdr:rowOff>147639</xdr:rowOff>
    </xdr:from>
    <xdr:to>
      <xdr:col>73</xdr:col>
      <xdr:colOff>542926</xdr:colOff>
      <xdr:row>100</xdr:row>
      <xdr:rowOff>83345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16</xdr:col>
      <xdr:colOff>583746</xdr:colOff>
      <xdr:row>28</xdr:row>
      <xdr:rowOff>59871</xdr:rowOff>
    </xdr:from>
    <xdr:ext cx="1073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EA405C-6943-4C3A-B8F3-EB7A7D511306}"/>
                </a:ext>
              </a:extLst>
            </xdr:cNvPr>
            <xdr:cNvSpPr txBox="1"/>
          </xdr:nvSpPr>
          <xdr:spPr>
            <a:xfrm>
              <a:off x="12272282" y="5393871"/>
              <a:ext cx="1073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NZ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</m:oMath>
                </m:oMathPara>
              </a14:m>
              <a:endParaRPr lang="en-NZ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EA405C-6943-4C3A-B8F3-EB7A7D511306}"/>
                </a:ext>
              </a:extLst>
            </xdr:cNvPr>
            <xdr:cNvSpPr txBox="1"/>
          </xdr:nvSpPr>
          <xdr:spPr>
            <a:xfrm>
              <a:off x="12272282" y="5393871"/>
              <a:ext cx="1073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NZ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endParaRPr lang="en-NZ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226219</xdr:colOff>
      <xdr:row>5</xdr:row>
      <xdr:rowOff>88106</xdr:rowOff>
    </xdr:from>
    <xdr:to>
      <xdr:col>41</xdr:col>
      <xdr:colOff>130969</xdr:colOff>
      <xdr:row>41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44</xdr:row>
      <xdr:rowOff>0</xdr:rowOff>
    </xdr:from>
    <xdr:to>
      <xdr:col>41</xdr:col>
      <xdr:colOff>514350</xdr:colOff>
      <xdr:row>82</xdr:row>
      <xdr:rowOff>126206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57</xdr:col>
      <xdr:colOff>514350</xdr:colOff>
      <xdr:row>40</xdr:row>
      <xdr:rowOff>126206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44</xdr:row>
      <xdr:rowOff>0</xdr:rowOff>
    </xdr:from>
    <xdr:to>
      <xdr:col>57</xdr:col>
      <xdr:colOff>514350</xdr:colOff>
      <xdr:row>82</xdr:row>
      <xdr:rowOff>126206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35719</xdr:colOff>
      <xdr:row>5</xdr:row>
      <xdr:rowOff>0</xdr:rowOff>
    </xdr:from>
    <xdr:to>
      <xdr:col>73</xdr:col>
      <xdr:colOff>550069</xdr:colOff>
      <xdr:row>40</xdr:row>
      <xdr:rowOff>126206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0</xdr:colOff>
      <xdr:row>44</xdr:row>
      <xdr:rowOff>0</xdr:rowOff>
    </xdr:from>
    <xdr:to>
      <xdr:col>73</xdr:col>
      <xdr:colOff>514350</xdr:colOff>
      <xdr:row>82</xdr:row>
      <xdr:rowOff>126206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523875</xdr:colOff>
      <xdr:row>12</xdr:row>
      <xdr:rowOff>47626</xdr:rowOff>
    </xdr:from>
    <xdr:to>
      <xdr:col>38</xdr:col>
      <xdr:colOff>328840</xdr:colOff>
      <xdr:row>31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533400</xdr:colOff>
      <xdr:row>33</xdr:row>
      <xdr:rowOff>142875</xdr:rowOff>
    </xdr:from>
    <xdr:to>
      <xdr:col>38</xdr:col>
      <xdr:colOff>361950</xdr:colOff>
      <xdr:row>52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487891</xdr:colOff>
      <xdr:row>54</xdr:row>
      <xdr:rowOff>31476</xdr:rowOff>
    </xdr:from>
    <xdr:to>
      <xdr:col>38</xdr:col>
      <xdr:colOff>321733</xdr:colOff>
      <xdr:row>72</xdr:row>
      <xdr:rowOff>169334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561973</xdr:colOff>
      <xdr:row>12</xdr:row>
      <xdr:rowOff>1</xdr:rowOff>
    </xdr:from>
    <xdr:to>
      <xdr:col>52</xdr:col>
      <xdr:colOff>285102</xdr:colOff>
      <xdr:row>46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0.74879</cdr:x>
      <cdr:y>0.18519</cdr:y>
    </cdr:from>
    <cdr:to>
      <cdr:x>0.88288</cdr:x>
      <cdr:y>0.30415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29676" y="1571625"/>
          <a:ext cx="1581150" cy="1009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Z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"/>
  <sheetViews>
    <sheetView zoomScaleNormal="100" workbookViewId="0">
      <selection activeCell="O32" sqref="O32"/>
    </sheetView>
  </sheetViews>
  <sheetFormatPr defaultColWidth="8.85546875" defaultRowHeight="15"/>
  <cols>
    <col min="30" max="30" width="18.28515625" customWidth="1"/>
  </cols>
  <sheetData>
    <row r="1" spans="1:26">
      <c r="F1" t="s">
        <v>35</v>
      </c>
    </row>
    <row r="2" spans="1:26">
      <c r="F2" t="s">
        <v>36</v>
      </c>
      <c r="J2" t="s">
        <v>25</v>
      </c>
      <c r="Q2" t="s">
        <v>38</v>
      </c>
      <c r="T2" t="s">
        <v>42</v>
      </c>
      <c r="W2" t="s">
        <v>53</v>
      </c>
    </row>
    <row r="3" spans="1:26">
      <c r="F3" t="s">
        <v>37</v>
      </c>
    </row>
    <row r="4" spans="1:26">
      <c r="Q4" t="s">
        <v>24</v>
      </c>
      <c r="R4" t="s">
        <v>41</v>
      </c>
      <c r="T4" t="s">
        <v>27</v>
      </c>
      <c r="U4" s="2">
        <v>41457</v>
      </c>
      <c r="W4" t="s">
        <v>1</v>
      </c>
      <c r="X4">
        <v>4.8800000000000003E-2</v>
      </c>
      <c r="Y4" t="s">
        <v>2</v>
      </c>
    </row>
    <row r="5" spans="1:26">
      <c r="Q5" t="s">
        <v>29</v>
      </c>
      <c r="R5" t="s">
        <v>39</v>
      </c>
      <c r="T5" t="s">
        <v>28</v>
      </c>
      <c r="U5" s="2">
        <v>41458</v>
      </c>
      <c r="W5" t="s">
        <v>3</v>
      </c>
      <c r="X5">
        <v>1000</v>
      </c>
      <c r="Y5" t="s">
        <v>4</v>
      </c>
    </row>
    <row r="6" spans="1:26">
      <c r="Q6" t="s">
        <v>33</v>
      </c>
      <c r="R6" t="s">
        <v>40</v>
      </c>
      <c r="T6" t="s">
        <v>32</v>
      </c>
      <c r="U6" s="2">
        <v>41459</v>
      </c>
    </row>
    <row r="7" spans="1:26">
      <c r="T7" t="s">
        <v>34</v>
      </c>
      <c r="U7" s="2">
        <v>41460</v>
      </c>
    </row>
    <row r="10" spans="1:26"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54</v>
      </c>
      <c r="N10" t="s">
        <v>26</v>
      </c>
      <c r="O10" t="s">
        <v>50</v>
      </c>
      <c r="P10" t="s">
        <v>50</v>
      </c>
      <c r="Q10" t="s">
        <v>50</v>
      </c>
      <c r="R10" t="s">
        <v>50</v>
      </c>
      <c r="V10" t="s">
        <v>51</v>
      </c>
      <c r="W10" t="s">
        <v>52</v>
      </c>
      <c r="X10" t="s">
        <v>52</v>
      </c>
      <c r="Y10" t="s">
        <v>52</v>
      </c>
      <c r="Z10" t="s">
        <v>52</v>
      </c>
    </row>
    <row r="11" spans="1:26">
      <c r="W11" t="s">
        <v>0</v>
      </c>
    </row>
    <row r="12" spans="1:26">
      <c r="A12" t="s">
        <v>31</v>
      </c>
      <c r="B12" t="s">
        <v>30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14</v>
      </c>
      <c r="O12" t="s">
        <v>15</v>
      </c>
      <c r="P12" t="s">
        <v>16</v>
      </c>
      <c r="Q12" t="s">
        <v>17</v>
      </c>
      <c r="R12" t="s">
        <v>18</v>
      </c>
      <c r="V12" t="s">
        <v>19</v>
      </c>
      <c r="W12" t="s">
        <v>20</v>
      </c>
      <c r="X12" t="s">
        <v>21</v>
      </c>
      <c r="Y12" t="s">
        <v>22</v>
      </c>
      <c r="Z12" t="s">
        <v>23</v>
      </c>
    </row>
    <row r="13" spans="1:26"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47</v>
      </c>
      <c r="H13" t="s">
        <v>47</v>
      </c>
      <c r="I13" t="s">
        <v>47</v>
      </c>
      <c r="J13" t="s">
        <v>48</v>
      </c>
      <c r="K13" t="s">
        <v>45</v>
      </c>
      <c r="L13" t="s">
        <v>46</v>
      </c>
      <c r="O13" t="s">
        <v>47</v>
      </c>
      <c r="P13" t="s">
        <v>47</v>
      </c>
      <c r="Q13" t="s">
        <v>47</v>
      </c>
      <c r="R13" t="s">
        <v>47</v>
      </c>
    </row>
    <row r="15" spans="1:26">
      <c r="A15" s="3" t="s">
        <v>27</v>
      </c>
      <c r="B15" s="3" t="s">
        <v>24</v>
      </c>
      <c r="C15" s="3">
        <v>0</v>
      </c>
      <c r="D15" s="3">
        <v>0</v>
      </c>
      <c r="E15" s="3">
        <v>0</v>
      </c>
      <c r="F15" s="3">
        <v>-41.144571685567023</v>
      </c>
      <c r="G15" s="3">
        <v>10.981372958762895</v>
      </c>
      <c r="H15" s="3">
        <v>-1.1073180701030916</v>
      </c>
      <c r="I15" s="3">
        <v>-1.8280901288659808</v>
      </c>
      <c r="J15" s="3">
        <v>29.720349041237561</v>
      </c>
      <c r="K15" s="3">
        <v>2.546250929896948</v>
      </c>
      <c r="L15" s="3">
        <v>0</v>
      </c>
      <c r="M15" s="3"/>
      <c r="N15" s="3" t="s">
        <v>55</v>
      </c>
      <c r="O15" s="3">
        <f t="shared" ref="O15" si="0">F15+G15</f>
        <v>-30.163198726804126</v>
      </c>
      <c r="P15" s="20">
        <f>-(H15+I15)</f>
        <v>2.9354081989690721</v>
      </c>
      <c r="Q15" s="3">
        <f t="shared" ref="Q15" si="1">O15*COS(RADIANS(D15))-P15*SIN(RADIANS(D15))</f>
        <v>-30.163198726804126</v>
      </c>
      <c r="R15" s="4">
        <f t="shared" ref="R15:R37" si="2">(O15*SIN(RADIANS(D15)))+(P15*(COS(RADIANS(D15))))</f>
        <v>2.9354081989690721</v>
      </c>
      <c r="S15" s="3"/>
      <c r="T15" s="3"/>
      <c r="U15" s="3"/>
      <c r="V15" s="3">
        <f t="shared" ref="V15:V37" si="3">0.5*$X$5*$L15^2</f>
        <v>0</v>
      </c>
      <c r="W15" s="3"/>
      <c r="X15" s="3"/>
      <c r="Y15" s="3"/>
      <c r="Z15" s="3"/>
    </row>
    <row r="16" spans="1:26">
      <c r="A16" t="s">
        <v>27</v>
      </c>
      <c r="B16" t="s">
        <v>24</v>
      </c>
      <c r="C16">
        <v>1</v>
      </c>
      <c r="D16">
        <v>0</v>
      </c>
      <c r="E16">
        <v>0</v>
      </c>
      <c r="F16">
        <v>-7.4205749999999996E-3</v>
      </c>
      <c r="G16">
        <v>-1.5892855000000001E-2</v>
      </c>
      <c r="H16">
        <v>7.6282800000000003E-3</v>
      </c>
      <c r="I16">
        <v>-3.5436389999999999E-3</v>
      </c>
      <c r="J16">
        <v>29.73136336</v>
      </c>
      <c r="K16">
        <v>2.5434638280000001</v>
      </c>
      <c r="L16">
        <v>0</v>
      </c>
      <c r="O16">
        <f t="shared" ref="O16:O37" si="4">F16+G16</f>
        <v>-2.331343E-2</v>
      </c>
      <c r="P16" s="14">
        <f t="shared" ref="P16:P27" si="5">-(H16+I16)</f>
        <v>-4.084641E-3</v>
      </c>
      <c r="Q16">
        <f t="shared" ref="Q16:Q37" si="6">O16*COS(RADIANS(D16))-P16*SIN(RADIANS(D16))</f>
        <v>-2.331343E-2</v>
      </c>
      <c r="R16" s="1">
        <f t="shared" si="2"/>
        <v>-4.084641E-3</v>
      </c>
      <c r="V16">
        <f t="shared" si="3"/>
        <v>0</v>
      </c>
    </row>
    <row r="17" spans="1:26">
      <c r="A17" t="s">
        <v>27</v>
      </c>
      <c r="B17" t="s">
        <v>24</v>
      </c>
      <c r="C17">
        <v>2</v>
      </c>
      <c r="D17">
        <v>0</v>
      </c>
      <c r="E17">
        <v>0.4</v>
      </c>
      <c r="F17">
        <v>1.9932109999999999E-2</v>
      </c>
      <c r="G17">
        <v>-1.1704373000000001E-2</v>
      </c>
      <c r="H17">
        <v>-1.9176398000000001E-2</v>
      </c>
      <c r="I17">
        <v>-3.2089426999999997E-2</v>
      </c>
      <c r="J17">
        <v>29.737275449999999</v>
      </c>
      <c r="K17">
        <v>2.5435509289999998</v>
      </c>
      <c r="L17">
        <v>0.399157333</v>
      </c>
      <c r="O17">
        <f t="shared" si="4"/>
        <v>8.2277369999999989E-3</v>
      </c>
      <c r="P17" s="14">
        <f t="shared" si="5"/>
        <v>5.1265825000000001E-2</v>
      </c>
      <c r="Q17">
        <f t="shared" si="6"/>
        <v>8.2277369999999989E-3</v>
      </c>
      <c r="R17" s="1">
        <f t="shared" si="2"/>
        <v>5.1265825000000001E-2</v>
      </c>
      <c r="V17">
        <f t="shared" si="3"/>
        <v>79.663288243836448</v>
      </c>
      <c r="W17">
        <f t="shared" ref="W17:W37" si="7">$O17/($X$4*$V17)</f>
        <v>2.1164224042161798E-3</v>
      </c>
      <c r="X17">
        <f t="shared" ref="X17:X37" si="8">$P17/($X$4*$V17)</f>
        <v>1.3187118231978726E-2</v>
      </c>
      <c r="Y17">
        <f t="shared" ref="Y17:Y37" si="9">$Q17/($X$4*$V17)</f>
        <v>2.1164224042161798E-3</v>
      </c>
      <c r="Z17">
        <f t="shared" ref="Z17:Z37" si="10">$R17/($X$4*$V17)</f>
        <v>1.3187118231978726E-2</v>
      </c>
    </row>
    <row r="18" spans="1:26">
      <c r="A18" t="s">
        <v>27</v>
      </c>
      <c r="B18" t="s">
        <v>24</v>
      </c>
      <c r="C18">
        <v>3</v>
      </c>
      <c r="D18">
        <v>0</v>
      </c>
      <c r="E18">
        <v>0.4</v>
      </c>
      <c r="F18">
        <v>6.6094326999999994E-2</v>
      </c>
      <c r="G18">
        <v>3.3210192999999999E-2</v>
      </c>
      <c r="H18">
        <v>2.7715018000000001E-2</v>
      </c>
      <c r="I18">
        <v>-5.5521399999999995E-4</v>
      </c>
      <c r="J18">
        <v>29.737275459999999</v>
      </c>
      <c r="K18">
        <v>2.544421899</v>
      </c>
      <c r="L18">
        <v>0.399166519</v>
      </c>
      <c r="M18">
        <v>11.04</v>
      </c>
      <c r="N18" t="s">
        <v>56</v>
      </c>
      <c r="O18">
        <f t="shared" si="4"/>
        <v>9.9304519999999993E-2</v>
      </c>
      <c r="P18" s="14">
        <f t="shared" si="5"/>
        <v>-2.7159804000000003E-2</v>
      </c>
      <c r="Q18">
        <f t="shared" si="6"/>
        <v>9.9304519999999993E-2</v>
      </c>
      <c r="R18" s="1">
        <f t="shared" si="2"/>
        <v>-2.7159804000000003E-2</v>
      </c>
      <c r="V18">
        <f t="shared" si="3"/>
        <v>79.66695494528868</v>
      </c>
      <c r="W18">
        <f t="shared" si="7"/>
        <v>2.5542945502587341E-2</v>
      </c>
      <c r="X18">
        <f t="shared" si="8"/>
        <v>-6.9860001683000311E-3</v>
      </c>
      <c r="Y18">
        <f t="shared" si="9"/>
        <v>2.5542945502587341E-2</v>
      </c>
      <c r="Z18">
        <f t="shared" si="10"/>
        <v>-6.9860001683000311E-3</v>
      </c>
    </row>
    <row r="19" spans="1:26">
      <c r="A19" t="s">
        <v>27</v>
      </c>
      <c r="B19" t="s">
        <v>24</v>
      </c>
      <c r="C19">
        <v>4</v>
      </c>
      <c r="D19">
        <v>0</v>
      </c>
      <c r="E19">
        <v>0.8</v>
      </c>
      <c r="F19">
        <v>0.35686111500000001</v>
      </c>
      <c r="G19">
        <v>0.15967483800000001</v>
      </c>
      <c r="H19">
        <v>9.3275832000000003E-2</v>
      </c>
      <c r="I19">
        <v>-5.8884459E-2</v>
      </c>
      <c r="J19">
        <v>29.727556939999999</v>
      </c>
      <c r="K19">
        <v>2.5452928610000001</v>
      </c>
      <c r="L19">
        <v>0.80495266099999996</v>
      </c>
      <c r="M19">
        <v>11.27</v>
      </c>
      <c r="O19">
        <f t="shared" si="4"/>
        <v>0.51653595299999999</v>
      </c>
      <c r="P19" s="14">
        <f t="shared" si="5"/>
        <v>-3.4391373000000003E-2</v>
      </c>
      <c r="Q19">
        <f t="shared" si="6"/>
        <v>0.51653595299999999</v>
      </c>
      <c r="R19" s="1">
        <f t="shared" si="2"/>
        <v>-3.4391373000000003E-2</v>
      </c>
      <c r="V19">
        <f t="shared" si="3"/>
        <v>323.97439322549042</v>
      </c>
      <c r="W19">
        <f t="shared" si="7"/>
        <v>3.2671573298939015E-2</v>
      </c>
      <c r="X19">
        <f t="shared" si="8"/>
        <v>-2.1752992357932772E-3</v>
      </c>
      <c r="Y19">
        <f t="shared" si="9"/>
        <v>3.2671573298939015E-2</v>
      </c>
      <c r="Z19">
        <f t="shared" si="10"/>
        <v>-2.1752992357932772E-3</v>
      </c>
    </row>
    <row r="20" spans="1:26">
      <c r="A20" t="s">
        <v>27</v>
      </c>
      <c r="B20" t="s">
        <v>24</v>
      </c>
      <c r="C20">
        <v>5</v>
      </c>
      <c r="D20">
        <v>0</v>
      </c>
      <c r="E20">
        <v>1.2</v>
      </c>
      <c r="F20">
        <v>0.95517649699999996</v>
      </c>
      <c r="G20">
        <v>0.65989715299999996</v>
      </c>
      <c r="H20">
        <v>0.23749547100000001</v>
      </c>
      <c r="I20">
        <v>-4.7688968999999998E-2</v>
      </c>
      <c r="J20">
        <v>29.725532250000001</v>
      </c>
      <c r="K20">
        <v>2.544247704</v>
      </c>
      <c r="L20">
        <v>1.1953707760000001</v>
      </c>
      <c r="M20">
        <v>11.5</v>
      </c>
      <c r="N20" t="s">
        <v>57</v>
      </c>
      <c r="O20">
        <f t="shared" si="4"/>
        <v>1.6150736499999998</v>
      </c>
      <c r="P20" s="14">
        <f t="shared" si="5"/>
        <v>-0.18980650200000002</v>
      </c>
      <c r="Q20">
        <f t="shared" si="6"/>
        <v>1.6150736499999998</v>
      </c>
      <c r="R20" s="1">
        <f t="shared" si="2"/>
        <v>-0.18980650200000002</v>
      </c>
      <c r="V20">
        <f t="shared" si="3"/>
        <v>714.45564605742118</v>
      </c>
      <c r="W20">
        <f t="shared" si="7"/>
        <v>4.6323059659512451E-2</v>
      </c>
      <c r="X20">
        <f t="shared" si="8"/>
        <v>-5.4439733543478787E-3</v>
      </c>
      <c r="Y20">
        <f t="shared" si="9"/>
        <v>4.6323059659512451E-2</v>
      </c>
      <c r="Z20">
        <f t="shared" si="10"/>
        <v>-5.4439733543478787E-3</v>
      </c>
    </row>
    <row r="21" spans="1:26">
      <c r="A21" s="3" t="s">
        <v>27</v>
      </c>
      <c r="B21" s="3" t="s">
        <v>24</v>
      </c>
      <c r="C21" s="3">
        <v>-6</v>
      </c>
      <c r="D21" s="3">
        <v>0</v>
      </c>
      <c r="E21" s="3">
        <v>1.6</v>
      </c>
      <c r="F21" s="3">
        <v>-39.728019009999997</v>
      </c>
      <c r="G21" s="3">
        <v>12.215801000000001</v>
      </c>
      <c r="H21" s="3">
        <v>-0.74748255100000005</v>
      </c>
      <c r="I21" s="3">
        <v>-1.8159351829999999</v>
      </c>
      <c r="J21" s="3">
        <v>29.721144689999999</v>
      </c>
      <c r="K21" s="3">
        <v>2.5475162899999999</v>
      </c>
      <c r="L21" s="3">
        <v>1.6031258960000001</v>
      </c>
      <c r="M21">
        <v>12.24</v>
      </c>
      <c r="N21" t="s">
        <v>58</v>
      </c>
      <c r="O21" s="3">
        <f t="shared" si="4"/>
        <v>-27.512218009999998</v>
      </c>
      <c r="P21" s="14">
        <f t="shared" si="5"/>
        <v>2.5634177339999997</v>
      </c>
      <c r="Q21" s="3">
        <f t="shared" si="6"/>
        <v>-27.512218009999998</v>
      </c>
      <c r="R21" s="4">
        <f t="shared" si="2"/>
        <v>2.5634177339999997</v>
      </c>
      <c r="S21" s="3"/>
      <c r="T21" s="3"/>
      <c r="U21" s="3"/>
      <c r="V21" s="3">
        <f t="shared" si="3"/>
        <v>1285.0063192129016</v>
      </c>
      <c r="W21" s="3">
        <f t="shared" si="7"/>
        <v>-0.43873321927835934</v>
      </c>
      <c r="X21" s="3">
        <f t="shared" si="8"/>
        <v>4.0878438604414688E-2</v>
      </c>
      <c r="Y21" s="3">
        <f t="shared" si="9"/>
        <v>-0.43873321927835934</v>
      </c>
      <c r="Z21" s="3">
        <f t="shared" si="10"/>
        <v>4.0878438604414688E-2</v>
      </c>
    </row>
    <row r="22" spans="1:26">
      <c r="A22" t="s">
        <v>27</v>
      </c>
      <c r="B22" t="s">
        <v>24</v>
      </c>
      <c r="C22">
        <v>6</v>
      </c>
      <c r="D22">
        <v>0</v>
      </c>
      <c r="E22">
        <v>1.6</v>
      </c>
      <c r="F22">
        <v>1.3497232379999999</v>
      </c>
      <c r="G22">
        <v>1.136919821</v>
      </c>
      <c r="H22">
        <v>0.32989373500000002</v>
      </c>
      <c r="I22">
        <v>2.4997800000000001E-3</v>
      </c>
      <c r="J22">
        <v>29.712470790000001</v>
      </c>
      <c r="K22">
        <v>2.543700206</v>
      </c>
      <c r="L22">
        <v>1.6056720010000001</v>
      </c>
      <c r="M22" s="5" t="s">
        <v>62</v>
      </c>
      <c r="N22" t="s">
        <v>63</v>
      </c>
      <c r="O22">
        <f t="shared" si="4"/>
        <v>2.4866430589999999</v>
      </c>
      <c r="P22" s="14">
        <f t="shared" si="5"/>
        <v>-0.33239351500000003</v>
      </c>
      <c r="Q22">
        <f t="shared" si="6"/>
        <v>2.4866430589999999</v>
      </c>
      <c r="R22" s="1">
        <f t="shared" si="2"/>
        <v>-0.33239351500000003</v>
      </c>
      <c r="V22">
        <f t="shared" si="3"/>
        <v>1289.0912873976722</v>
      </c>
      <c r="W22">
        <f t="shared" si="7"/>
        <v>3.9528465429481165E-2</v>
      </c>
      <c r="X22">
        <f t="shared" si="8"/>
        <v>-5.2838325625814038E-3</v>
      </c>
      <c r="Y22">
        <f t="shared" si="9"/>
        <v>3.9528465429481165E-2</v>
      </c>
      <c r="Z22">
        <f t="shared" si="10"/>
        <v>-5.2838325625814038E-3</v>
      </c>
    </row>
    <row r="23" spans="1:26">
      <c r="A23" t="s">
        <v>27</v>
      </c>
      <c r="B23" t="s">
        <v>24</v>
      </c>
      <c r="C23">
        <v>7</v>
      </c>
      <c r="D23">
        <v>4</v>
      </c>
      <c r="E23">
        <v>0</v>
      </c>
      <c r="F23">
        <v>7.9520660000000007E-3</v>
      </c>
      <c r="G23">
        <v>1.6075913000000001E-2</v>
      </c>
      <c r="H23">
        <v>-4.1631306E-2</v>
      </c>
      <c r="I23">
        <v>1.6316026000000001E-2</v>
      </c>
      <c r="J23">
        <v>29.713141140000001</v>
      </c>
      <c r="K23">
        <v>2.5413735009999998</v>
      </c>
      <c r="L23">
        <v>0</v>
      </c>
      <c r="M23">
        <v>13.05</v>
      </c>
      <c r="N23" t="s">
        <v>64</v>
      </c>
      <c r="O23">
        <f t="shared" si="4"/>
        <v>2.4027979000000001E-2</v>
      </c>
      <c r="P23" s="14">
        <f t="shared" si="5"/>
        <v>2.5315279999999999E-2</v>
      </c>
      <c r="Q23">
        <f t="shared" si="6"/>
        <v>2.2203543386152821E-2</v>
      </c>
      <c r="R23" s="1">
        <f t="shared" si="2"/>
        <v>2.6929720336499416E-2</v>
      </c>
      <c r="V23">
        <f t="shared" si="3"/>
        <v>0</v>
      </c>
      <c r="W23" t="e">
        <f t="shared" si="7"/>
        <v>#DIV/0!</v>
      </c>
      <c r="X23" t="e">
        <f t="shared" si="8"/>
        <v>#DIV/0!</v>
      </c>
      <c r="Y23" t="e">
        <f t="shared" si="9"/>
        <v>#DIV/0!</v>
      </c>
      <c r="Z23" t="e">
        <f t="shared" si="10"/>
        <v>#DIV/0!</v>
      </c>
    </row>
    <row r="24" spans="1:26">
      <c r="A24" t="s">
        <v>27</v>
      </c>
      <c r="B24" t="s">
        <v>24</v>
      </c>
      <c r="C24">
        <v>8</v>
      </c>
      <c r="D24">
        <v>4</v>
      </c>
      <c r="E24">
        <v>0.4</v>
      </c>
      <c r="F24">
        <v>-2.375298E-2</v>
      </c>
      <c r="G24">
        <v>8.3425445000000001E-2</v>
      </c>
      <c r="H24">
        <v>-6.9434028999999994E-2</v>
      </c>
      <c r="I24">
        <v>6.1104023E-2</v>
      </c>
      <c r="J24">
        <v>29.715489779999999</v>
      </c>
      <c r="K24">
        <v>2.54233157</v>
      </c>
      <c r="L24">
        <v>0.40036896100000002</v>
      </c>
      <c r="M24">
        <v>13.25</v>
      </c>
      <c r="O24">
        <f t="shared" si="4"/>
        <v>5.9672465000000001E-2</v>
      </c>
      <c r="P24" s="14">
        <f>-(H24+I24)-$P18</f>
        <v>3.5489809999999997E-2</v>
      </c>
      <c r="Q24">
        <f t="shared" si="6"/>
        <v>5.7051461874938605E-2</v>
      </c>
      <c r="R24" s="1">
        <f t="shared" si="2"/>
        <v>3.9565899344571345E-2</v>
      </c>
      <c r="V24">
        <f t="shared" si="3"/>
        <v>80.147652466109776</v>
      </c>
      <c r="W24">
        <f t="shared" si="7"/>
        <v>1.5256796379051557E-2</v>
      </c>
      <c r="X24">
        <f t="shared" si="8"/>
        <v>9.0738803014292716E-3</v>
      </c>
      <c r="Y24">
        <f t="shared" si="9"/>
        <v>1.4586669696872105E-2</v>
      </c>
      <c r="Z24">
        <f t="shared" si="10"/>
        <v>1.0116037101101396E-2</v>
      </c>
    </row>
    <row r="25" spans="1:26">
      <c r="A25" t="s">
        <v>27</v>
      </c>
      <c r="B25" t="s">
        <v>24</v>
      </c>
      <c r="C25">
        <v>9</v>
      </c>
      <c r="D25">
        <v>4</v>
      </c>
      <c r="E25">
        <v>0.8</v>
      </c>
      <c r="F25">
        <v>-1.9295435999999999E-2</v>
      </c>
      <c r="G25">
        <v>0.56600487499999996</v>
      </c>
      <c r="H25">
        <v>-0.23174502799999999</v>
      </c>
      <c r="I25">
        <v>0.20889252999999999</v>
      </c>
      <c r="J25">
        <v>29.712574230000001</v>
      </c>
      <c r="K25">
        <v>2.5452928620000002</v>
      </c>
      <c r="L25">
        <v>0.80652782099999998</v>
      </c>
      <c r="M25">
        <v>13.4</v>
      </c>
      <c r="O25">
        <f t="shared" si="4"/>
        <v>0.54670943900000002</v>
      </c>
      <c r="P25" s="14">
        <f>-(H25+I25)-$P19</f>
        <v>5.7243871000000002E-2</v>
      </c>
      <c r="Q25">
        <f t="shared" si="6"/>
        <v>0.54138455169969268</v>
      </c>
      <c r="R25" s="1">
        <f t="shared" si="2"/>
        <v>9.5240950434579863E-2</v>
      </c>
      <c r="V25">
        <f t="shared" si="3"/>
        <v>325.24356302350401</v>
      </c>
      <c r="W25">
        <f t="shared" si="7"/>
        <v>3.4445146801508147E-2</v>
      </c>
      <c r="X25">
        <f t="shared" si="8"/>
        <v>3.6066206277473745E-3</v>
      </c>
      <c r="Y25">
        <f t="shared" si="9"/>
        <v>3.4109655017982216E-2</v>
      </c>
      <c r="Z25">
        <f t="shared" si="10"/>
        <v>6.0006070596382455E-3</v>
      </c>
    </row>
    <row r="26" spans="1:26">
      <c r="A26" t="s">
        <v>27</v>
      </c>
      <c r="B26" t="s">
        <v>24</v>
      </c>
      <c r="C26">
        <v>10</v>
      </c>
      <c r="D26">
        <v>4</v>
      </c>
      <c r="E26">
        <v>1.6</v>
      </c>
      <c r="F26">
        <v>6.9466881999999994E-2</v>
      </c>
      <c r="G26">
        <v>2.6037486240000001</v>
      </c>
      <c r="H26">
        <v>-1.0951051620000001</v>
      </c>
      <c r="I26">
        <v>0.72602649200000002</v>
      </c>
      <c r="J26">
        <v>29.717891980000001</v>
      </c>
      <c r="K26">
        <v>2.5447602260000002</v>
      </c>
      <c r="L26">
        <v>1.605772797</v>
      </c>
      <c r="M26">
        <v>14.02</v>
      </c>
      <c r="N26" t="s">
        <v>65</v>
      </c>
      <c r="O26">
        <f t="shared" si="4"/>
        <v>2.673215506</v>
      </c>
      <c r="P26" s="14">
        <f>-(H26+I26)-P22</f>
        <v>0.70147218500000008</v>
      </c>
      <c r="Q26">
        <f t="shared" si="6"/>
        <v>2.6177714613275387</v>
      </c>
      <c r="R26" s="1">
        <f t="shared" si="2"/>
        <v>0.88623752126988631</v>
      </c>
      <c r="V26">
        <f t="shared" si="3"/>
        <v>1289.2531377926016</v>
      </c>
      <c r="W26">
        <f t="shared" si="7"/>
        <v>4.248894547139271E-2</v>
      </c>
      <c r="X26">
        <f t="shared" si="8"/>
        <v>1.1149424111624055E-2</v>
      </c>
      <c r="Y26">
        <f t="shared" si="9"/>
        <v>4.1607700025406702E-2</v>
      </c>
      <c r="Z26">
        <f t="shared" si="10"/>
        <v>1.4086143684047011E-2</v>
      </c>
    </row>
    <row r="27" spans="1:26">
      <c r="A27" t="s">
        <v>27</v>
      </c>
      <c r="B27" t="s">
        <v>24</v>
      </c>
      <c r="C27">
        <v>11</v>
      </c>
      <c r="D27">
        <v>4</v>
      </c>
      <c r="E27">
        <v>1.2</v>
      </c>
      <c r="F27">
        <v>0.250067973</v>
      </c>
      <c r="G27">
        <v>1.4872120520000001</v>
      </c>
      <c r="H27">
        <v>-0.57341494699999995</v>
      </c>
      <c r="I27">
        <v>0.33016629400000003</v>
      </c>
      <c r="J27">
        <v>29.710549539999999</v>
      </c>
      <c r="K27">
        <v>2.544073504</v>
      </c>
      <c r="L27">
        <v>1.1985547809999999</v>
      </c>
      <c r="M27">
        <v>15.14</v>
      </c>
      <c r="N27" t="s">
        <v>59</v>
      </c>
      <c r="O27">
        <f t="shared" si="4"/>
        <v>1.737280025</v>
      </c>
      <c r="P27" s="14">
        <f t="shared" si="5"/>
        <v>0.24324865299999993</v>
      </c>
      <c r="Q27">
        <f t="shared" si="6"/>
        <v>1.7160799298982004</v>
      </c>
      <c r="R27" s="1">
        <f t="shared" si="2"/>
        <v>0.36384263995703231</v>
      </c>
      <c r="V27">
        <f t="shared" si="3"/>
        <v>718.26678152897887</v>
      </c>
      <c r="W27">
        <f t="shared" si="7"/>
        <v>4.9563757405727639E-2</v>
      </c>
      <c r="X27">
        <f t="shared" si="8"/>
        <v>6.9397662167686629E-3</v>
      </c>
      <c r="Y27">
        <f t="shared" si="9"/>
        <v>4.8958928963862627E-2</v>
      </c>
      <c r="Z27">
        <f t="shared" si="10"/>
        <v>1.038025423718888E-2</v>
      </c>
    </row>
    <row r="28" spans="1:26">
      <c r="A28" s="14" t="s">
        <v>27</v>
      </c>
      <c r="B28" s="14" t="s">
        <v>24</v>
      </c>
      <c r="C28" s="14">
        <v>12</v>
      </c>
      <c r="D28" s="14">
        <v>8</v>
      </c>
      <c r="E28" s="14">
        <v>0.4</v>
      </c>
      <c r="F28" s="14">
        <v>-1.3495438E-2</v>
      </c>
      <c r="G28" s="14">
        <v>0.23512774</v>
      </c>
      <c r="H28" s="14">
        <v>-9.8655558000000004E-2</v>
      </c>
      <c r="I28" s="14">
        <v>8.2243897999999996E-2</v>
      </c>
      <c r="J28" s="14">
        <v>29.711926330000001</v>
      </c>
      <c r="K28" s="14">
        <v>2.5410251160000001</v>
      </c>
      <c r="L28" s="14">
        <v>0.39705455299999998</v>
      </c>
      <c r="M28" s="14">
        <v>15.4</v>
      </c>
      <c r="N28" s="14"/>
      <c r="O28" s="14">
        <f t="shared" si="4"/>
        <v>0.221632302</v>
      </c>
      <c r="P28" s="14">
        <f>-(H28+I28)-$P18</f>
        <v>4.3571464000000011E-2</v>
      </c>
      <c r="Q28" s="14">
        <f t="shared" si="6"/>
        <v>0.21341141591403864</v>
      </c>
      <c r="R28" s="19">
        <f t="shared" si="2"/>
        <v>7.3992684249780588E-2</v>
      </c>
      <c r="S28" s="14"/>
      <c r="T28" s="14"/>
      <c r="U28" s="14"/>
      <c r="V28" s="14">
        <f t="shared" si="3"/>
        <v>78.826159029014889</v>
      </c>
      <c r="W28" s="14">
        <f t="shared" si="7"/>
        <v>5.7615968971863316E-2</v>
      </c>
      <c r="X28" s="14">
        <f t="shared" si="8"/>
        <v>1.1326923445855199E-2</v>
      </c>
      <c r="Y28" s="14">
        <f t="shared" si="9"/>
        <v>5.5478851262144392E-2</v>
      </c>
      <c r="Z28" s="14">
        <f t="shared" si="10"/>
        <v>1.9235283672143774E-2</v>
      </c>
    </row>
    <row r="29" spans="1:26">
      <c r="A29" t="s">
        <v>27</v>
      </c>
      <c r="B29" t="s">
        <v>24</v>
      </c>
      <c r="C29">
        <v>13</v>
      </c>
      <c r="D29">
        <v>8</v>
      </c>
      <c r="E29">
        <v>0.8</v>
      </c>
      <c r="F29">
        <v>-0.27818868400000002</v>
      </c>
      <c r="G29">
        <v>0.88052105700000005</v>
      </c>
      <c r="H29">
        <v>-0.52998281599999997</v>
      </c>
      <c r="I29">
        <v>0.34621489700000002</v>
      </c>
      <c r="J29">
        <v>29.7107925</v>
      </c>
      <c r="K29">
        <v>2.5373670420000001</v>
      </c>
      <c r="L29">
        <v>0.80848332000000001</v>
      </c>
      <c r="M29">
        <v>15.53</v>
      </c>
      <c r="N29" t="s">
        <v>66</v>
      </c>
      <c r="O29">
        <f t="shared" si="4"/>
        <v>0.60233237300000009</v>
      </c>
      <c r="P29" s="14">
        <f>-(H29+I29)-$P19</f>
        <v>0.21815929199999995</v>
      </c>
      <c r="Q29">
        <f t="shared" si="6"/>
        <v>0.5661086105803449</v>
      </c>
      <c r="R29" s="1">
        <f t="shared" si="2"/>
        <v>0.29986464492591308</v>
      </c>
      <c r="V29">
        <f t="shared" si="3"/>
        <v>326.82263935911124</v>
      </c>
      <c r="W29">
        <f t="shared" si="7"/>
        <v>3.7766283633550071E-2</v>
      </c>
      <c r="X29">
        <f t="shared" si="8"/>
        <v>1.3678603489184316E-2</v>
      </c>
      <c r="Y29">
        <f t="shared" si="9"/>
        <v>3.5495051092949058E-2</v>
      </c>
      <c r="Z29">
        <f t="shared" si="10"/>
        <v>1.8801535065334791E-2</v>
      </c>
    </row>
    <row r="30" spans="1:26">
      <c r="A30" t="s">
        <v>27</v>
      </c>
      <c r="B30" t="s">
        <v>24</v>
      </c>
      <c r="C30">
        <v>14</v>
      </c>
      <c r="D30">
        <v>8</v>
      </c>
      <c r="E30">
        <v>1.2</v>
      </c>
      <c r="F30">
        <v>-0.34372928899999999</v>
      </c>
      <c r="G30">
        <v>2.1691677579999999</v>
      </c>
      <c r="H30">
        <v>-1.332591176</v>
      </c>
      <c r="I30">
        <v>0.55141120700000001</v>
      </c>
      <c r="J30">
        <v>29.711440410000002</v>
      </c>
      <c r="K30">
        <v>2.542070281</v>
      </c>
      <c r="L30">
        <v>1.1940425610000001</v>
      </c>
      <c r="M30" s="5">
        <v>14.29</v>
      </c>
      <c r="N30" s="5" t="s">
        <v>67</v>
      </c>
      <c r="O30">
        <f t="shared" si="4"/>
        <v>1.8254384689999998</v>
      </c>
      <c r="P30" s="14">
        <f>-(H30+I30)-$P20</f>
        <v>0.97098647100000002</v>
      </c>
      <c r="Q30">
        <f t="shared" si="6"/>
        <v>1.6725382291438582</v>
      </c>
      <c r="R30" s="1">
        <f t="shared" si="2"/>
        <v>1.215588829753887</v>
      </c>
      <c r="V30">
        <f t="shared" si="3"/>
        <v>712.86881873971936</v>
      </c>
      <c r="W30">
        <f t="shared" si="7"/>
        <v>5.2473225116269423E-2</v>
      </c>
      <c r="X30">
        <f t="shared" si="8"/>
        <v>2.7911536073602389E-2</v>
      </c>
      <c r="Y30">
        <f t="shared" si="9"/>
        <v>4.8078024268607814E-2</v>
      </c>
      <c r="Z30">
        <f t="shared" si="10"/>
        <v>3.4942764380023715E-2</v>
      </c>
    </row>
    <row r="31" spans="1:26">
      <c r="A31" t="s">
        <v>28</v>
      </c>
      <c r="B31" t="s">
        <v>24</v>
      </c>
      <c r="C31">
        <v>1</v>
      </c>
      <c r="D31">
        <v>8</v>
      </c>
      <c r="E31">
        <v>1.2</v>
      </c>
      <c r="F31">
        <v>1.9344262379999999</v>
      </c>
      <c r="G31">
        <v>-0.55381301000000005</v>
      </c>
      <c r="H31">
        <v>1.4722661450000001</v>
      </c>
      <c r="I31">
        <v>-0.45231331200000002</v>
      </c>
      <c r="J31">
        <v>29.722713880000001</v>
      </c>
      <c r="K31">
        <v>2.528618373</v>
      </c>
      <c r="L31">
        <v>1.1942638269999999</v>
      </c>
      <c r="N31" t="s">
        <v>71</v>
      </c>
      <c r="O31" s="14">
        <f t="shared" si="4"/>
        <v>1.3806132279999999</v>
      </c>
      <c r="P31">
        <f>H31+I31+$P20</f>
        <v>0.83014633100000002</v>
      </c>
      <c r="Q31">
        <f t="shared" si="6"/>
        <v>1.2516431558347343</v>
      </c>
      <c r="R31" s="1">
        <f t="shared" si="2"/>
        <v>1.0142116281395162</v>
      </c>
      <c r="V31">
        <f t="shared" si="3"/>
        <v>713.13304424034288</v>
      </c>
      <c r="W31">
        <f t="shared" si="7"/>
        <v>3.967177639660225E-2</v>
      </c>
      <c r="X31">
        <f t="shared" si="8"/>
        <v>2.3854167808894673E-2</v>
      </c>
      <c r="Y31">
        <f t="shared" si="9"/>
        <v>3.5965834891025082E-2</v>
      </c>
      <c r="Z31">
        <f t="shared" si="10"/>
        <v>2.9143264829260926E-2</v>
      </c>
    </row>
    <row r="32" spans="1:26">
      <c r="A32" t="s">
        <v>28</v>
      </c>
      <c r="B32" t="s">
        <v>24</v>
      </c>
      <c r="C32">
        <v>2</v>
      </c>
      <c r="D32">
        <v>16</v>
      </c>
      <c r="E32">
        <v>0.4</v>
      </c>
      <c r="F32">
        <v>0.221620076</v>
      </c>
      <c r="G32">
        <v>-0.10234170099999999</v>
      </c>
      <c r="H32">
        <v>0.28251249899999997</v>
      </c>
      <c r="I32">
        <v>1.396965E-2</v>
      </c>
      <c r="J32">
        <v>29.721965709999999</v>
      </c>
      <c r="K32">
        <v>2.5239516480000002</v>
      </c>
      <c r="L32">
        <v>0.399162872</v>
      </c>
      <c r="N32" t="s">
        <v>68</v>
      </c>
      <c r="O32" s="14">
        <f t="shared" si="4"/>
        <v>0.11927837500000001</v>
      </c>
      <c r="P32">
        <f t="shared" ref="P32:P37" si="11">H32+I32</f>
        <v>0.29648214899999997</v>
      </c>
      <c r="Q32">
        <f t="shared" si="6"/>
        <v>3.2936177443965223E-2</v>
      </c>
      <c r="R32" s="1">
        <f t="shared" si="2"/>
        <v>0.31787450925432581</v>
      </c>
      <c r="V32">
        <f t="shared" si="3"/>
        <v>79.665499191644187</v>
      </c>
      <c r="W32">
        <f t="shared" si="7"/>
        <v>3.0681148310158401E-2</v>
      </c>
      <c r="X32">
        <f t="shared" si="8"/>
        <v>7.626204485753163E-2</v>
      </c>
      <c r="Y32">
        <f t="shared" si="9"/>
        <v>8.471944264230551E-3</v>
      </c>
      <c r="Z32">
        <f t="shared" si="10"/>
        <v>8.1764653169116269E-2</v>
      </c>
    </row>
    <row r="33" spans="1:26">
      <c r="A33" t="s">
        <v>28</v>
      </c>
      <c r="B33" t="s">
        <v>24</v>
      </c>
      <c r="C33">
        <v>3</v>
      </c>
      <c r="D33">
        <v>16</v>
      </c>
      <c r="E33">
        <v>0.8</v>
      </c>
      <c r="F33">
        <v>1.1883120599999999</v>
      </c>
      <c r="G33">
        <v>-0.70034065300000004</v>
      </c>
      <c r="H33">
        <v>1.086710289</v>
      </c>
      <c r="I33">
        <v>-0.34302578500000003</v>
      </c>
      <c r="J33">
        <v>29.718081389999998</v>
      </c>
      <c r="K33">
        <v>2.5276122019999998</v>
      </c>
      <c r="L33">
        <v>0.808770145</v>
      </c>
      <c r="M33">
        <v>10.35</v>
      </c>
      <c r="N33" t="s">
        <v>60</v>
      </c>
      <c r="O33" s="14">
        <f t="shared" si="4"/>
        <v>0.48797140699999986</v>
      </c>
      <c r="P33">
        <f t="shared" si="11"/>
        <v>0.74368450399999997</v>
      </c>
      <c r="Q33">
        <f t="shared" si="6"/>
        <v>0.26408099201759094</v>
      </c>
      <c r="R33" s="1">
        <f t="shared" si="2"/>
        <v>0.84937857589786803</v>
      </c>
      <c r="V33">
        <f t="shared" si="3"/>
        <v>327.05457372166052</v>
      </c>
      <c r="W33">
        <f t="shared" si="7"/>
        <v>3.0574145360764287E-2</v>
      </c>
      <c r="X33">
        <f t="shared" si="8"/>
        <v>4.6596005015195278E-2</v>
      </c>
      <c r="Y33">
        <f t="shared" si="9"/>
        <v>1.6546155207328904E-2</v>
      </c>
      <c r="Z33">
        <f t="shared" si="10"/>
        <v>5.3218331388462659E-2</v>
      </c>
    </row>
    <row r="34" spans="1:26">
      <c r="A34" t="s">
        <v>28</v>
      </c>
      <c r="B34" t="s">
        <v>24</v>
      </c>
      <c r="C34">
        <v>4</v>
      </c>
      <c r="D34">
        <v>16</v>
      </c>
      <c r="E34">
        <v>1.2</v>
      </c>
      <c r="F34">
        <v>3.3276295139999998</v>
      </c>
      <c r="G34">
        <v>-1.322209974</v>
      </c>
      <c r="H34">
        <v>2.8252796409999998</v>
      </c>
      <c r="I34">
        <v>-0.73651261999999995</v>
      </c>
      <c r="J34">
        <v>29.717028549999998</v>
      </c>
      <c r="K34">
        <v>2.528221877</v>
      </c>
      <c r="L34">
        <v>1.1962005280000001</v>
      </c>
      <c r="M34">
        <v>11.05</v>
      </c>
      <c r="O34" s="14">
        <f t="shared" si="4"/>
        <v>2.0054195400000001</v>
      </c>
      <c r="P34">
        <f t="shared" si="11"/>
        <v>2.0887670209999998</v>
      </c>
      <c r="Q34">
        <f t="shared" si="6"/>
        <v>1.351990769502053</v>
      </c>
      <c r="R34" s="1">
        <f t="shared" si="2"/>
        <v>2.5606202683358328</v>
      </c>
      <c r="V34">
        <f t="shared" si="3"/>
        <v>715.44785159373941</v>
      </c>
      <c r="W34">
        <f t="shared" si="7"/>
        <v>5.7439074858321421E-2</v>
      </c>
      <c r="X34">
        <f t="shared" si="8"/>
        <v>5.9826307108193436E-2</v>
      </c>
      <c r="Y34">
        <f t="shared" si="9"/>
        <v>3.8723617411839918E-2</v>
      </c>
      <c r="Z34">
        <f t="shared" si="10"/>
        <v>7.3341092147071116E-2</v>
      </c>
    </row>
    <row r="35" spans="1:26">
      <c r="A35" t="s">
        <v>28</v>
      </c>
      <c r="B35" t="s">
        <v>24</v>
      </c>
      <c r="C35">
        <v>5</v>
      </c>
      <c r="D35">
        <v>24</v>
      </c>
      <c r="E35">
        <v>0.4</v>
      </c>
      <c r="F35">
        <v>0.43555384899999999</v>
      </c>
      <c r="G35">
        <v>-0.128718585</v>
      </c>
      <c r="H35">
        <v>0.49993947500000002</v>
      </c>
      <c r="I35">
        <v>6.1137140999999999E-2</v>
      </c>
      <c r="J35">
        <v>29.71451793</v>
      </c>
      <c r="K35">
        <v>2.528396071</v>
      </c>
      <c r="L35">
        <v>0.40077541500000002</v>
      </c>
      <c r="M35">
        <v>11.36</v>
      </c>
      <c r="O35" s="14">
        <f t="shared" si="4"/>
        <v>0.306835264</v>
      </c>
      <c r="P35">
        <f t="shared" si="11"/>
        <v>0.56107661600000003</v>
      </c>
      <c r="Q35">
        <f t="shared" si="6"/>
        <v>5.2097542371598415E-2</v>
      </c>
      <c r="R35" s="1">
        <f t="shared" si="2"/>
        <v>0.63737013919291874</v>
      </c>
      <c r="V35">
        <f t="shared" si="3"/>
        <v>80.310466634211124</v>
      </c>
      <c r="W35">
        <f t="shared" si="7"/>
        <v>7.8291263049068457E-2</v>
      </c>
      <c r="X35">
        <f t="shared" si="8"/>
        <v>0.14316280456583105</v>
      </c>
      <c r="Y35">
        <f t="shared" si="9"/>
        <v>1.3293069189155524E-2</v>
      </c>
      <c r="Z35">
        <f t="shared" si="10"/>
        <v>0.16262965532923288</v>
      </c>
    </row>
    <row r="36" spans="1:26">
      <c r="A36" t="s">
        <v>28</v>
      </c>
      <c r="B36" t="s">
        <v>24</v>
      </c>
      <c r="C36">
        <v>6</v>
      </c>
      <c r="D36">
        <v>24</v>
      </c>
      <c r="E36">
        <v>0.8</v>
      </c>
      <c r="F36">
        <v>1.8806857720000001</v>
      </c>
      <c r="G36">
        <v>-0.84036618200000002</v>
      </c>
      <c r="H36">
        <v>1.690536772</v>
      </c>
      <c r="I36">
        <v>-0.41618050299999998</v>
      </c>
      <c r="J36">
        <v>29.712007310000001</v>
      </c>
      <c r="K36">
        <v>2.5250863940000001</v>
      </c>
      <c r="L36">
        <v>0.80715357399999998</v>
      </c>
      <c r="M36">
        <v>12.04</v>
      </c>
      <c r="O36" s="14">
        <f t="shared" si="4"/>
        <v>1.0403195900000002</v>
      </c>
      <c r="P36">
        <f t="shared" si="11"/>
        <v>1.2743562690000001</v>
      </c>
      <c r="Q36">
        <f t="shared" si="6"/>
        <v>0.43205184500545157</v>
      </c>
      <c r="R36" s="1">
        <f t="shared" si="2"/>
        <v>1.5873184787259154</v>
      </c>
      <c r="V36">
        <f t="shared" si="3"/>
        <v>325.74844601048676</v>
      </c>
      <c r="W36">
        <f t="shared" si="7"/>
        <v>6.5443211307168042E-2</v>
      </c>
      <c r="X36">
        <f t="shared" si="8"/>
        <v>8.0165717722167726E-2</v>
      </c>
      <c r="Y36">
        <f t="shared" si="9"/>
        <v>2.7179013507131568E-2</v>
      </c>
      <c r="Z36">
        <f t="shared" si="10"/>
        <v>9.9853179362923053E-2</v>
      </c>
    </row>
    <row r="37" spans="1:26">
      <c r="A37" t="s">
        <v>28</v>
      </c>
      <c r="B37" t="s">
        <v>24</v>
      </c>
      <c r="C37">
        <v>7</v>
      </c>
      <c r="D37">
        <v>24</v>
      </c>
      <c r="E37">
        <v>1.2</v>
      </c>
      <c r="F37">
        <v>4.629038392</v>
      </c>
      <c r="G37">
        <v>-1.8179315570000001</v>
      </c>
      <c r="H37">
        <v>4.0901864190000001</v>
      </c>
      <c r="I37">
        <v>-0.85066085499999999</v>
      </c>
      <c r="J37">
        <v>29.71516583</v>
      </c>
      <c r="K37">
        <v>2.5304863960000001</v>
      </c>
      <c r="L37">
        <v>1.196083969</v>
      </c>
      <c r="M37">
        <v>12.3</v>
      </c>
      <c r="N37" t="s">
        <v>69</v>
      </c>
      <c r="O37" s="14">
        <f t="shared" si="4"/>
        <v>2.8111068349999999</v>
      </c>
      <c r="P37">
        <f t="shared" si="11"/>
        <v>3.239525564</v>
      </c>
      <c r="Q37">
        <f t="shared" si="6"/>
        <v>1.2504401270027199</v>
      </c>
      <c r="R37" s="1">
        <f t="shared" si="2"/>
        <v>4.1028340213046217</v>
      </c>
      <c r="V37">
        <f t="shared" si="3"/>
        <v>715.3084304493965</v>
      </c>
      <c r="W37">
        <f t="shared" si="7"/>
        <v>8.0531202773615113E-2</v>
      </c>
      <c r="X37">
        <f t="shared" si="8"/>
        <v>9.2804331317701022E-2</v>
      </c>
      <c r="Y37">
        <f t="shared" si="9"/>
        <v>3.5821992309275248E-2</v>
      </c>
      <c r="Z37">
        <f t="shared" si="10"/>
        <v>0.11753596640384151</v>
      </c>
    </row>
    <row r="38" spans="1:26">
      <c r="N38" t="s">
        <v>70</v>
      </c>
      <c r="R38" s="1"/>
    </row>
    <row r="39" spans="1:26">
      <c r="A39" s="14" t="s">
        <v>28</v>
      </c>
      <c r="B39" t="s">
        <v>29</v>
      </c>
      <c r="C39">
        <v>1</v>
      </c>
      <c r="D39">
        <v>0</v>
      </c>
      <c r="E39">
        <v>0.4</v>
      </c>
      <c r="F39">
        <v>2.2096626000000001E-2</v>
      </c>
      <c r="G39">
        <v>5.6975710000000002E-3</v>
      </c>
      <c r="H39">
        <v>7.4071600000000003E-3</v>
      </c>
      <c r="I39">
        <v>1.0741308E-2</v>
      </c>
      <c r="J39">
        <v>25.708993530000001</v>
      </c>
      <c r="K39">
        <v>2.5307476869999999</v>
      </c>
      <c r="L39">
        <v>0.39910057999999998</v>
      </c>
      <c r="M39">
        <v>13.58</v>
      </c>
      <c r="O39">
        <f t="shared" ref="O39:O56" si="12">F39+G39</f>
        <v>2.7794197E-2</v>
      </c>
      <c r="P39">
        <f t="shared" ref="P39:P56" si="13">H39+I39</f>
        <v>1.8148468000000001E-2</v>
      </c>
      <c r="Q39">
        <f t="shared" ref="Q39:Q56" si="14">O39*COS(RADIANS(D39))-P39*SIN(RADIANS(D39))</f>
        <v>2.7794197E-2</v>
      </c>
      <c r="R39" s="1">
        <f t="shared" ref="R39:R56" si="15">(O39*SIN(RADIANS(D39)))+(P39*(COS(RADIANS(D39))))</f>
        <v>1.8148468000000001E-2</v>
      </c>
      <c r="V39">
        <f t="shared" ref="V39:V56" si="16">0.5*$X$5*$L39^2</f>
        <v>79.64063647816819</v>
      </c>
      <c r="W39">
        <f t="shared" ref="W39:W56" si="17">$O39/($X$4*$V39)</f>
        <v>7.1515402487930362E-3</v>
      </c>
      <c r="X39">
        <f t="shared" ref="X39:X56" si="18">$P39/($X$4*$V39)</f>
        <v>4.6696617770944221E-3</v>
      </c>
      <c r="Y39">
        <f t="shared" ref="Y39:Y56" si="19">$Q39/($X$4*$V39)</f>
        <v>7.1515402487930362E-3</v>
      </c>
      <c r="Z39">
        <f t="shared" ref="Z39:Z56" si="20">$R39/($X$4*$V39)</f>
        <v>4.6696617770944221E-3</v>
      </c>
    </row>
    <row r="40" spans="1:26">
      <c r="A40" t="s">
        <v>28</v>
      </c>
      <c r="B40" t="s">
        <v>29</v>
      </c>
      <c r="C40">
        <v>2</v>
      </c>
      <c r="D40">
        <v>0</v>
      </c>
      <c r="E40">
        <v>0.8</v>
      </c>
      <c r="F40">
        <v>0.25370080299999997</v>
      </c>
      <c r="G40">
        <v>0.178985905</v>
      </c>
      <c r="H40">
        <v>5.7258577999999997E-2</v>
      </c>
      <c r="I40">
        <v>-1.1302624000000001E-2</v>
      </c>
      <c r="J40">
        <v>25.71142313</v>
      </c>
      <c r="K40">
        <v>2.5282218859999999</v>
      </c>
      <c r="L40">
        <v>0.807602975</v>
      </c>
      <c r="M40">
        <v>14.1</v>
      </c>
      <c r="O40">
        <f t="shared" si="12"/>
        <v>0.43268670799999998</v>
      </c>
      <c r="P40">
        <f t="shared" si="13"/>
        <v>4.5955953999999993E-2</v>
      </c>
      <c r="Q40">
        <f t="shared" si="14"/>
        <v>0.43268670799999998</v>
      </c>
      <c r="R40" s="1">
        <f t="shared" si="15"/>
        <v>4.5955953999999993E-2</v>
      </c>
      <c r="V40">
        <f t="shared" si="16"/>
        <v>326.11128261442531</v>
      </c>
      <c r="W40">
        <f t="shared" si="17"/>
        <v>2.718866649002943E-2</v>
      </c>
      <c r="X40">
        <f t="shared" si="18"/>
        <v>2.88772703999295E-3</v>
      </c>
      <c r="Y40">
        <f t="shared" si="19"/>
        <v>2.718866649002943E-2</v>
      </c>
      <c r="Z40">
        <f t="shared" si="20"/>
        <v>2.88772703999295E-3</v>
      </c>
    </row>
    <row r="41" spans="1:26">
      <c r="A41" t="s">
        <v>28</v>
      </c>
      <c r="B41" t="s">
        <v>29</v>
      </c>
      <c r="C41">
        <v>3</v>
      </c>
      <c r="D41">
        <v>0</v>
      </c>
      <c r="E41">
        <v>1.2</v>
      </c>
      <c r="F41">
        <v>0.49040507</v>
      </c>
      <c r="G41">
        <v>0.33427240499999999</v>
      </c>
      <c r="H41">
        <v>0.13229121199999999</v>
      </c>
      <c r="I41">
        <v>-1.8367569E-2</v>
      </c>
      <c r="J41">
        <v>25.706725899999999</v>
      </c>
      <c r="K41">
        <v>2.5298767230000001</v>
      </c>
      <c r="L41">
        <v>1.196363101</v>
      </c>
      <c r="M41">
        <v>14.27</v>
      </c>
      <c r="O41">
        <f t="shared" si="12"/>
        <v>0.82467747499999999</v>
      </c>
      <c r="P41">
        <f t="shared" si="13"/>
        <v>0.11392364299999999</v>
      </c>
      <c r="Q41">
        <f t="shared" si="14"/>
        <v>0.82467747499999999</v>
      </c>
      <c r="R41" s="1">
        <f t="shared" si="15"/>
        <v>0.11392364299999999</v>
      </c>
      <c r="V41">
        <f t="shared" si="16"/>
        <v>715.64233471716807</v>
      </c>
      <c r="W41">
        <f t="shared" si="17"/>
        <v>2.3613930823061697E-2</v>
      </c>
      <c r="X41">
        <f t="shared" si="18"/>
        <v>3.2621056188216818E-3</v>
      </c>
      <c r="Y41">
        <f t="shared" si="19"/>
        <v>2.3613930823061697E-2</v>
      </c>
      <c r="Z41">
        <f t="shared" si="20"/>
        <v>3.2621056188216818E-3</v>
      </c>
    </row>
    <row r="42" spans="1:26">
      <c r="A42" t="s">
        <v>28</v>
      </c>
      <c r="B42" t="s">
        <v>29</v>
      </c>
      <c r="C42">
        <v>4</v>
      </c>
      <c r="D42">
        <v>0</v>
      </c>
      <c r="E42">
        <v>1.6</v>
      </c>
      <c r="F42">
        <v>0.68188400199999999</v>
      </c>
      <c r="G42">
        <v>0.55797234699999998</v>
      </c>
      <c r="H42">
        <v>0.19022795000000001</v>
      </c>
      <c r="I42">
        <v>-1.0908772000000001E-2</v>
      </c>
      <c r="J42">
        <v>25.707094730000001</v>
      </c>
      <c r="K42">
        <v>2.5265951339999999</v>
      </c>
      <c r="L42">
        <v>1.6066748719999999</v>
      </c>
      <c r="M42">
        <v>14.56</v>
      </c>
      <c r="O42">
        <f t="shared" si="12"/>
        <v>1.2398563490000001</v>
      </c>
      <c r="P42">
        <f t="shared" si="13"/>
        <v>0.179319178</v>
      </c>
      <c r="Q42">
        <f t="shared" si="14"/>
        <v>1.2398563490000001</v>
      </c>
      <c r="R42" s="1">
        <f t="shared" si="15"/>
        <v>0.179319178</v>
      </c>
      <c r="V42">
        <f t="shared" si="16"/>
        <v>1290.7020721581082</v>
      </c>
      <c r="W42">
        <f t="shared" si="17"/>
        <v>1.9684552264690788E-2</v>
      </c>
      <c r="X42">
        <f t="shared" si="18"/>
        <v>2.8469570158263474E-3</v>
      </c>
      <c r="Y42">
        <f t="shared" si="19"/>
        <v>1.9684552264690788E-2</v>
      </c>
      <c r="Z42">
        <f t="shared" si="20"/>
        <v>2.8469570158263474E-3</v>
      </c>
    </row>
    <row r="43" spans="1:26">
      <c r="A43" t="s">
        <v>28</v>
      </c>
      <c r="B43" t="s">
        <v>29</v>
      </c>
      <c r="C43">
        <v>5</v>
      </c>
      <c r="D43">
        <v>8</v>
      </c>
      <c r="E43">
        <v>0.4</v>
      </c>
      <c r="F43">
        <v>0.12175135199999999</v>
      </c>
      <c r="G43">
        <v>-5.9011371999999999E-2</v>
      </c>
      <c r="H43">
        <v>0.17142281400000001</v>
      </c>
      <c r="I43">
        <v>3.1069467999999999E-2</v>
      </c>
      <c r="J43">
        <v>25.70235263</v>
      </c>
      <c r="K43">
        <v>2.5248251019999999</v>
      </c>
      <c r="L43">
        <v>0.400327561</v>
      </c>
      <c r="M43">
        <v>15.33</v>
      </c>
      <c r="O43">
        <f t="shared" si="12"/>
        <v>6.2739980000000001E-2</v>
      </c>
      <c r="P43">
        <f t="shared" si="13"/>
        <v>0.202492282</v>
      </c>
      <c r="Q43">
        <f t="shared" si="14"/>
        <v>3.3947920021064712E-2</v>
      </c>
      <c r="R43" s="1">
        <f t="shared" si="15"/>
        <v>0.20925335860198593</v>
      </c>
      <c r="V43">
        <f t="shared" si="16"/>
        <v>80.131078048104357</v>
      </c>
      <c r="W43">
        <f t="shared" si="17"/>
        <v>1.6044403235122417E-2</v>
      </c>
      <c r="X43">
        <f t="shared" si="18"/>
        <v>5.1783054830558131E-2</v>
      </c>
      <c r="Y43">
        <f t="shared" si="19"/>
        <v>8.6814518878018093E-3</v>
      </c>
      <c r="Z43">
        <f t="shared" si="20"/>
        <v>5.3512055051881342E-2</v>
      </c>
    </row>
    <row r="44" spans="1:26">
      <c r="A44" t="s">
        <v>28</v>
      </c>
      <c r="B44" t="s">
        <v>29</v>
      </c>
      <c r="C44">
        <v>6</v>
      </c>
      <c r="D44">
        <v>8</v>
      </c>
      <c r="E44">
        <v>0.8</v>
      </c>
      <c r="F44">
        <v>0.70327841599999996</v>
      </c>
      <c r="G44">
        <v>-0.172274026</v>
      </c>
      <c r="H44">
        <v>0.75336359900000005</v>
      </c>
      <c r="I44">
        <v>5.0258575E-2</v>
      </c>
      <c r="J44">
        <v>25.702595590000001</v>
      </c>
      <c r="K44">
        <v>2.5228218720000002</v>
      </c>
      <c r="L44">
        <v>0.80967196399999997</v>
      </c>
      <c r="M44">
        <v>15.47</v>
      </c>
      <c r="O44">
        <f t="shared" si="12"/>
        <v>0.53100438999999999</v>
      </c>
      <c r="P44">
        <f t="shared" si="13"/>
        <v>0.80362217400000002</v>
      </c>
      <c r="Q44">
        <f t="shared" si="14"/>
        <v>0.41399410182274632</v>
      </c>
      <c r="R44" s="1">
        <f t="shared" si="15"/>
        <v>0.8697029058245902</v>
      </c>
      <c r="V44">
        <f t="shared" si="16"/>
        <v>327.78434464380859</v>
      </c>
      <c r="W44">
        <f t="shared" si="17"/>
        <v>3.3196330690607713E-2</v>
      </c>
      <c r="X44">
        <f t="shared" si="18"/>
        <v>5.0239335005138268E-2</v>
      </c>
      <c r="Y44">
        <f t="shared" si="19"/>
        <v>2.5881302239457962E-2</v>
      </c>
      <c r="Z44">
        <f t="shared" si="20"/>
        <v>5.4370445533106708E-2</v>
      </c>
    </row>
    <row r="45" spans="1:26">
      <c r="A45" t="s">
        <v>28</v>
      </c>
      <c r="B45" t="s">
        <v>29</v>
      </c>
      <c r="C45">
        <v>7</v>
      </c>
      <c r="D45">
        <v>8</v>
      </c>
      <c r="E45">
        <v>1.2</v>
      </c>
      <c r="F45">
        <v>1.530494368</v>
      </c>
      <c r="G45">
        <v>-0.57905444100000003</v>
      </c>
      <c r="H45">
        <v>1.8573220850000001</v>
      </c>
      <c r="I45">
        <v>0.196273223</v>
      </c>
      <c r="J45">
        <v>25.702595590000001</v>
      </c>
      <c r="K45">
        <v>2.523867042</v>
      </c>
      <c r="L45">
        <v>1.199292507</v>
      </c>
      <c r="O45">
        <f t="shared" si="12"/>
        <v>0.95143992700000002</v>
      </c>
      <c r="P45">
        <f t="shared" si="13"/>
        <v>2.0535953080000002</v>
      </c>
      <c r="Q45">
        <f t="shared" si="14"/>
        <v>0.65637535190250995</v>
      </c>
      <c r="R45" s="1">
        <f t="shared" si="15"/>
        <v>2.166024704647719</v>
      </c>
      <c r="V45">
        <f t="shared" si="16"/>
        <v>719.15125867317249</v>
      </c>
      <c r="W45">
        <f t="shared" si="17"/>
        <v>2.7110735857634509E-2</v>
      </c>
      <c r="X45">
        <f t="shared" si="18"/>
        <v>5.8516022266601381E-2</v>
      </c>
      <c r="Y45">
        <f t="shared" si="19"/>
        <v>1.8703039765211416E-2</v>
      </c>
      <c r="Z45">
        <f t="shared" si="20"/>
        <v>6.1719633539002311E-2</v>
      </c>
    </row>
    <row r="46" spans="1:26">
      <c r="A46" t="s">
        <v>28</v>
      </c>
      <c r="B46" t="s">
        <v>29</v>
      </c>
      <c r="C46">
        <v>8</v>
      </c>
      <c r="D46">
        <v>8</v>
      </c>
      <c r="E46">
        <v>1.6</v>
      </c>
      <c r="F46">
        <v>2.756053176</v>
      </c>
      <c r="G46">
        <v>-1.073331289</v>
      </c>
      <c r="H46">
        <v>3.3127392389999999</v>
      </c>
      <c r="I46">
        <v>0.23491271599999999</v>
      </c>
      <c r="J46">
        <v>25.702301089999999</v>
      </c>
      <c r="K46">
        <v>2.526910768</v>
      </c>
      <c r="L46">
        <v>1.60563737</v>
      </c>
      <c r="N46" t="s">
        <v>61</v>
      </c>
      <c r="O46">
        <f t="shared" si="12"/>
        <v>1.682721887</v>
      </c>
      <c r="P46">
        <f t="shared" si="13"/>
        <v>3.5476519550000001</v>
      </c>
      <c r="Q46">
        <f t="shared" si="14"/>
        <v>1.1726080295642725</v>
      </c>
      <c r="R46" s="1">
        <f t="shared" si="15"/>
        <v>3.7473160731122697</v>
      </c>
      <c r="V46">
        <f t="shared" si="16"/>
        <v>1289.0356819702583</v>
      </c>
      <c r="W46">
        <f t="shared" si="17"/>
        <v>2.6750233809232239E-2</v>
      </c>
      <c r="X46">
        <f t="shared" si="18"/>
        <v>5.6397031501872801E-2</v>
      </c>
      <c r="Y46">
        <f t="shared" si="19"/>
        <v>1.8640952613595736E-2</v>
      </c>
      <c r="Z46">
        <f t="shared" si="20"/>
        <v>5.9571092458754721E-2</v>
      </c>
    </row>
    <row r="47" spans="1:26">
      <c r="A47" t="s">
        <v>32</v>
      </c>
      <c r="B47" t="s">
        <v>29</v>
      </c>
      <c r="C47">
        <v>9</v>
      </c>
      <c r="D47">
        <v>8</v>
      </c>
      <c r="E47">
        <v>1.6</v>
      </c>
      <c r="F47">
        <v>2.815731166</v>
      </c>
      <c r="G47">
        <v>-1.0104013439999999</v>
      </c>
      <c r="H47">
        <v>3.110950892</v>
      </c>
      <c r="I47">
        <v>0.23392678</v>
      </c>
      <c r="J47">
        <v>16.75177339</v>
      </c>
      <c r="K47">
        <v>2.5100771169999998</v>
      </c>
      <c r="L47">
        <v>1.603580877</v>
      </c>
      <c r="N47" t="s">
        <v>72</v>
      </c>
      <c r="O47">
        <f t="shared" si="12"/>
        <v>1.805329822</v>
      </c>
      <c r="P47">
        <f t="shared" si="13"/>
        <v>3.344877672</v>
      </c>
      <c r="Q47">
        <f t="shared" si="14"/>
        <v>1.3222434783291783</v>
      </c>
      <c r="R47" s="1">
        <f t="shared" si="15"/>
        <v>3.5635789020116628</v>
      </c>
      <c r="V47">
        <f t="shared" si="16"/>
        <v>1285.7358145400447</v>
      </c>
      <c r="W47">
        <f t="shared" si="17"/>
        <v>2.8772989868690917E-2</v>
      </c>
      <c r="X47">
        <f t="shared" si="18"/>
        <v>5.3309999201058153E-2</v>
      </c>
      <c r="Y47">
        <f t="shared" si="19"/>
        <v>2.1073655208199451E-2</v>
      </c>
      <c r="Z47">
        <f t="shared" si="20"/>
        <v>5.6795616177364776E-2</v>
      </c>
    </row>
    <row r="48" spans="1:26">
      <c r="A48" t="s">
        <v>32</v>
      </c>
      <c r="B48" t="s">
        <v>29</v>
      </c>
      <c r="C48">
        <v>10</v>
      </c>
      <c r="D48">
        <v>8</v>
      </c>
      <c r="E48">
        <v>1.6</v>
      </c>
      <c r="F48">
        <v>2.5461835289999999</v>
      </c>
      <c r="G48">
        <v>-0.90896536999999999</v>
      </c>
      <c r="H48">
        <v>2.7081110169999998</v>
      </c>
      <c r="I48">
        <v>0.271247717</v>
      </c>
      <c r="J48">
        <v>19.02445294</v>
      </c>
      <c r="K48">
        <v>2.5123917269999998</v>
      </c>
      <c r="L48">
        <v>1.6035679039999999</v>
      </c>
      <c r="N48" t="s">
        <v>73</v>
      </c>
      <c r="O48">
        <f t="shared" si="12"/>
        <v>1.6372181589999999</v>
      </c>
      <c r="P48">
        <f t="shared" si="13"/>
        <v>2.9793587339999998</v>
      </c>
      <c r="Q48">
        <f t="shared" si="14"/>
        <v>1.2066382705383245</v>
      </c>
      <c r="R48" s="1">
        <f t="shared" si="15"/>
        <v>3.1782205477426695</v>
      </c>
      <c r="V48">
        <f t="shared" si="16"/>
        <v>1285.7150113694763</v>
      </c>
      <c r="W48">
        <f t="shared" si="17"/>
        <v>2.6094081613614636E-2</v>
      </c>
      <c r="X48">
        <f t="shared" si="18"/>
        <v>4.7485198923469543E-2</v>
      </c>
      <c r="Y48">
        <f t="shared" si="19"/>
        <v>1.9231473421214271E-2</v>
      </c>
      <c r="Z48">
        <f t="shared" si="20"/>
        <v>5.065467048662526E-2</v>
      </c>
    </row>
    <row r="49" spans="1:26">
      <c r="A49" t="s">
        <v>32</v>
      </c>
      <c r="B49" t="s">
        <v>29</v>
      </c>
      <c r="C49">
        <v>11</v>
      </c>
      <c r="D49">
        <v>16</v>
      </c>
      <c r="E49">
        <v>0.4</v>
      </c>
      <c r="F49">
        <v>0.331352863</v>
      </c>
      <c r="G49">
        <v>-0.158260964</v>
      </c>
      <c r="H49">
        <v>0.438115109</v>
      </c>
      <c r="I49">
        <v>8.8890697000000005E-2</v>
      </c>
      <c r="J49">
        <v>19.027666190000001</v>
      </c>
      <c r="K49">
        <v>2.5041831550000002</v>
      </c>
      <c r="L49">
        <v>0.40042877900000001</v>
      </c>
      <c r="O49">
        <f t="shared" si="12"/>
        <v>0.17309189899999999</v>
      </c>
      <c r="P49">
        <f t="shared" si="13"/>
        <v>0.52700580600000002</v>
      </c>
      <c r="Q49">
        <f t="shared" si="14"/>
        <v>2.1124125519877773E-2</v>
      </c>
      <c r="R49" s="1">
        <f t="shared" si="15"/>
        <v>0.5543010881986038</v>
      </c>
      <c r="V49">
        <f t="shared" si="16"/>
        <v>80.171603525715426</v>
      </c>
      <c r="W49">
        <f t="shared" si="17"/>
        <v>4.4242162903788206E-2</v>
      </c>
      <c r="X49">
        <f t="shared" si="18"/>
        <v>0.13470229892326852</v>
      </c>
      <c r="Y49">
        <f t="shared" si="19"/>
        <v>5.3993110471940815E-3</v>
      </c>
      <c r="Z49">
        <f t="shared" si="20"/>
        <v>0.14167895310819661</v>
      </c>
    </row>
    <row r="50" spans="1:26">
      <c r="A50" t="s">
        <v>32</v>
      </c>
      <c r="B50" t="s">
        <v>29</v>
      </c>
      <c r="C50">
        <v>12</v>
      </c>
      <c r="D50">
        <v>16</v>
      </c>
      <c r="E50">
        <v>0.8</v>
      </c>
      <c r="F50">
        <v>1.533116935</v>
      </c>
      <c r="G50">
        <v>-0.60543755099999996</v>
      </c>
      <c r="H50">
        <v>1.938270749</v>
      </c>
      <c r="I50">
        <v>0.34266296299999999</v>
      </c>
      <c r="J50">
        <v>19.02685632</v>
      </c>
      <c r="K50">
        <v>2.5097573459999998</v>
      </c>
      <c r="L50">
        <v>0.81018731200000005</v>
      </c>
      <c r="O50">
        <f t="shared" si="12"/>
        <v>0.92767938400000005</v>
      </c>
      <c r="P50">
        <f t="shared" si="13"/>
        <v>2.2809337119999999</v>
      </c>
      <c r="Q50">
        <f t="shared" si="14"/>
        <v>0.26303212078132232</v>
      </c>
      <c r="R50" s="1">
        <f t="shared" si="15"/>
        <v>2.4482773007717076</v>
      </c>
      <c r="V50">
        <f t="shared" si="16"/>
        <v>328.20174026289271</v>
      </c>
      <c r="W50">
        <f t="shared" si="17"/>
        <v>5.7921153700757039E-2</v>
      </c>
      <c r="X50">
        <f t="shared" si="18"/>
        <v>0.14241376319514101</v>
      </c>
      <c r="Y50">
        <f t="shared" si="19"/>
        <v>1.6422833318036806E-2</v>
      </c>
      <c r="Z50">
        <f t="shared" si="20"/>
        <v>0.15286212918586606</v>
      </c>
    </row>
    <row r="51" spans="1:26">
      <c r="A51" t="s">
        <v>32</v>
      </c>
      <c r="B51" t="s">
        <v>29</v>
      </c>
      <c r="C51">
        <v>13</v>
      </c>
      <c r="D51">
        <v>16</v>
      </c>
      <c r="E51">
        <v>1.2</v>
      </c>
      <c r="F51">
        <v>3.4080268650000001</v>
      </c>
      <c r="G51">
        <v>-1.336694847</v>
      </c>
      <c r="H51">
        <v>4.4499516269999999</v>
      </c>
      <c r="I51">
        <v>0.898326336</v>
      </c>
      <c r="J51">
        <v>19.026370400000001</v>
      </c>
      <c r="K51">
        <v>2.5060121959999999</v>
      </c>
      <c r="L51">
        <v>1.197884553</v>
      </c>
      <c r="O51">
        <f t="shared" si="12"/>
        <v>2.0713320180000001</v>
      </c>
      <c r="P51">
        <f t="shared" si="13"/>
        <v>5.3482779630000001</v>
      </c>
      <c r="Q51">
        <f t="shared" si="14"/>
        <v>0.51690693257837417</v>
      </c>
      <c r="R51" s="1">
        <f t="shared" si="15"/>
        <v>5.7120312255235266</v>
      </c>
      <c r="V51">
        <f t="shared" si="16"/>
        <v>717.46370115800482</v>
      </c>
      <c r="W51">
        <f t="shared" si="17"/>
        <v>5.9160244858655661E-2</v>
      </c>
      <c r="X51">
        <f t="shared" si="18"/>
        <v>0.15275457102659054</v>
      </c>
      <c r="Y51">
        <f t="shared" si="19"/>
        <v>1.4763611258228147E-2</v>
      </c>
      <c r="Z51">
        <f t="shared" si="20"/>
        <v>0.16314389146967687</v>
      </c>
    </row>
    <row r="52" spans="1:26">
      <c r="A52" t="s">
        <v>32</v>
      </c>
      <c r="B52" t="s">
        <v>29</v>
      </c>
      <c r="C52">
        <v>14</v>
      </c>
      <c r="D52">
        <v>16</v>
      </c>
      <c r="E52">
        <v>1.6</v>
      </c>
      <c r="F52">
        <v>6.2321689740000004</v>
      </c>
      <c r="G52">
        <v>-2.691909715</v>
      </c>
      <c r="H52">
        <v>7.3773787950000003</v>
      </c>
      <c r="I52">
        <v>0.83076241500000003</v>
      </c>
      <c r="J52">
        <v>19.02777914</v>
      </c>
      <c r="K52">
        <v>2.5070260040000001</v>
      </c>
      <c r="L52">
        <v>1.6058393099999999</v>
      </c>
      <c r="N52" t="s">
        <v>74</v>
      </c>
      <c r="O52">
        <f t="shared" si="12"/>
        <v>3.5402592590000004</v>
      </c>
      <c r="P52">
        <f t="shared" si="13"/>
        <v>8.2081412100000009</v>
      </c>
      <c r="Q52">
        <f t="shared" si="14"/>
        <v>1.1406452800707321</v>
      </c>
      <c r="R52" s="1">
        <f t="shared" si="15"/>
        <v>8.8659994410832148</v>
      </c>
      <c r="V52">
        <f t="shared" si="16"/>
        <v>1289.3599447706379</v>
      </c>
      <c r="W52">
        <f t="shared" si="17"/>
        <v>5.6265355989392668E-2</v>
      </c>
      <c r="X52">
        <f t="shared" si="18"/>
        <v>0.13045202438713663</v>
      </c>
      <c r="Y52">
        <f t="shared" si="19"/>
        <v>1.8128280457891808E-2</v>
      </c>
      <c r="Z52">
        <f t="shared" si="20"/>
        <v>0.14090736814998425</v>
      </c>
    </row>
    <row r="53" spans="1:26">
      <c r="A53" t="s">
        <v>32</v>
      </c>
      <c r="B53" t="s">
        <v>29</v>
      </c>
      <c r="C53">
        <v>15</v>
      </c>
      <c r="D53">
        <v>24</v>
      </c>
      <c r="E53">
        <v>0.4</v>
      </c>
      <c r="F53">
        <v>0.71289397499999996</v>
      </c>
      <c r="G53">
        <v>-0.245769513</v>
      </c>
      <c r="H53">
        <v>0.78044928400000002</v>
      </c>
      <c r="I53">
        <v>0.14822845500000001</v>
      </c>
      <c r="J53">
        <v>19.02928592</v>
      </c>
      <c r="K53">
        <v>2.5114121850000002</v>
      </c>
      <c r="L53">
        <v>0.40032908499999997</v>
      </c>
      <c r="O53">
        <f t="shared" si="12"/>
        <v>0.46712446199999996</v>
      </c>
      <c r="P53">
        <f t="shared" si="13"/>
        <v>0.92867773900000006</v>
      </c>
      <c r="Q53">
        <f t="shared" si="14"/>
        <v>4.9012164353759491E-2</v>
      </c>
      <c r="R53" s="1">
        <f t="shared" si="15"/>
        <v>1.0383859656497201</v>
      </c>
      <c r="V53">
        <f t="shared" si="16"/>
        <v>80.131688148468612</v>
      </c>
      <c r="W53">
        <f t="shared" si="17"/>
        <v>0.11945614529213117</v>
      </c>
      <c r="X53">
        <f t="shared" si="18"/>
        <v>0.23748759044768647</v>
      </c>
      <c r="Y53">
        <f t="shared" si="19"/>
        <v>1.253371360826851E-2</v>
      </c>
      <c r="Z53">
        <f t="shared" si="20"/>
        <v>0.26554290103086681</v>
      </c>
    </row>
    <row r="54" spans="1:26">
      <c r="A54" t="s">
        <v>32</v>
      </c>
      <c r="B54" t="s">
        <v>29</v>
      </c>
      <c r="C54">
        <v>16</v>
      </c>
      <c r="D54">
        <v>24</v>
      </c>
      <c r="E54">
        <v>0.8</v>
      </c>
      <c r="F54">
        <v>2.9346175149999998</v>
      </c>
      <c r="G54">
        <v>-1.058461466</v>
      </c>
      <c r="H54">
        <v>3.1429273480000002</v>
      </c>
      <c r="I54">
        <v>0.553697302</v>
      </c>
      <c r="J54">
        <v>19.029042960000002</v>
      </c>
      <c r="K54">
        <v>2.5099315469999999</v>
      </c>
      <c r="L54">
        <v>0.80901094500000004</v>
      </c>
      <c r="O54">
        <f t="shared" si="12"/>
        <v>1.8761560489999998</v>
      </c>
      <c r="P54">
        <f t="shared" si="13"/>
        <v>3.6966246500000004</v>
      </c>
      <c r="Q54">
        <f t="shared" si="14"/>
        <v>0.21040113554038364</v>
      </c>
      <c r="R54" s="1">
        <f t="shared" si="15"/>
        <v>4.140136070873786</v>
      </c>
      <c r="V54">
        <f t="shared" si="16"/>
        <v>327.24935456489658</v>
      </c>
      <c r="W54">
        <f t="shared" si="17"/>
        <v>0.11748173110179608</v>
      </c>
      <c r="X54">
        <f t="shared" si="18"/>
        <v>0.23147640802429389</v>
      </c>
      <c r="Y54">
        <f t="shared" si="19"/>
        <v>1.317496465298975E-2</v>
      </c>
      <c r="Z54">
        <f t="shared" si="20"/>
        <v>0.25924834603309732</v>
      </c>
    </row>
    <row r="55" spans="1:26">
      <c r="A55" t="s">
        <v>32</v>
      </c>
      <c r="B55" t="s">
        <v>29</v>
      </c>
      <c r="C55">
        <v>17</v>
      </c>
      <c r="D55">
        <v>24</v>
      </c>
      <c r="E55">
        <v>1.2</v>
      </c>
      <c r="F55">
        <v>5.3835363669999996</v>
      </c>
      <c r="G55">
        <v>-1.44813433</v>
      </c>
      <c r="H55">
        <v>6.0608638429999999</v>
      </c>
      <c r="I55">
        <v>1.1237641819999999</v>
      </c>
      <c r="J55">
        <v>19.02807112</v>
      </c>
      <c r="K55">
        <v>2.5094960670000002</v>
      </c>
      <c r="L55">
        <v>1.194729685</v>
      </c>
      <c r="N55" t="s">
        <v>75</v>
      </c>
      <c r="O55">
        <f t="shared" si="12"/>
        <v>3.9354020369999994</v>
      </c>
      <c r="P55">
        <f t="shared" si="13"/>
        <v>7.1846280250000003</v>
      </c>
      <c r="Q55">
        <f t="shared" si="14"/>
        <v>0.67291717026197162</v>
      </c>
      <c r="R55" s="1">
        <f t="shared" si="15"/>
        <v>8.1641565107735268</v>
      </c>
      <c r="V55">
        <f t="shared" si="16"/>
        <v>713.6895101100996</v>
      </c>
      <c r="W55">
        <f t="shared" si="17"/>
        <v>0.11299519359940341</v>
      </c>
      <c r="X55">
        <f t="shared" si="18"/>
        <v>0.20628856391085273</v>
      </c>
      <c r="Y55">
        <f t="shared" si="19"/>
        <v>1.9321127858153365E-2</v>
      </c>
      <c r="Z55">
        <f t="shared" si="20"/>
        <v>0.23441326625269635</v>
      </c>
    </row>
    <row r="56" spans="1:26">
      <c r="A56" t="s">
        <v>32</v>
      </c>
      <c r="B56" t="s">
        <v>29</v>
      </c>
      <c r="C56">
        <v>18</v>
      </c>
      <c r="D56">
        <v>24</v>
      </c>
      <c r="E56">
        <v>1</v>
      </c>
      <c r="F56">
        <v>4.4153090109999997</v>
      </c>
      <c r="G56">
        <v>-1.3856266049999999</v>
      </c>
      <c r="H56">
        <v>4.9438911259999996</v>
      </c>
      <c r="I56">
        <v>0.77264682900000003</v>
      </c>
      <c r="J56">
        <v>19.027423219999999</v>
      </c>
      <c r="K56">
        <v>2.5081025100000001</v>
      </c>
      <c r="L56">
        <v>1.003192364</v>
      </c>
      <c r="M56">
        <v>14.12</v>
      </c>
      <c r="O56">
        <f t="shared" si="12"/>
        <v>3.0296824060000001</v>
      </c>
      <c r="P56">
        <f t="shared" si="13"/>
        <v>5.7165379549999997</v>
      </c>
      <c r="Q56">
        <f t="shared" si="14"/>
        <v>0.44262714226890632</v>
      </c>
      <c r="R56" s="1">
        <f t="shared" si="15"/>
        <v>6.4546001336340257</v>
      </c>
      <c r="V56">
        <f t="shared" si="16"/>
        <v>503.19745959395425</v>
      </c>
      <c r="W56">
        <f t="shared" si="17"/>
        <v>0.12337831735230335</v>
      </c>
      <c r="X56">
        <f t="shared" si="18"/>
        <v>0.23279563315669768</v>
      </c>
      <c r="Y56">
        <f t="shared" si="19"/>
        <v>1.8025187035923346E-2</v>
      </c>
      <c r="Z56">
        <f t="shared" si="20"/>
        <v>0.26285187585755099</v>
      </c>
    </row>
    <row r="57" spans="1:26">
      <c r="R57" s="1"/>
    </row>
    <row r="58" spans="1:26">
      <c r="A58" s="3" t="s">
        <v>32</v>
      </c>
      <c r="B58" s="3" t="s">
        <v>33</v>
      </c>
      <c r="C58" s="3">
        <v>19</v>
      </c>
      <c r="D58" s="3">
        <v>0</v>
      </c>
      <c r="E58" s="3">
        <v>0.4</v>
      </c>
      <c r="F58" s="3">
        <v>4.3555884000000003E-2</v>
      </c>
      <c r="G58" s="3">
        <v>2.5549054000000002E-2</v>
      </c>
      <c r="H58" s="3">
        <v>0.56585520700000003</v>
      </c>
      <c r="I58" s="3">
        <v>-1.0525364000000001E-2</v>
      </c>
      <c r="J58" s="3">
        <v>19.028395060000001</v>
      </c>
      <c r="K58" s="3">
        <v>2.5041831640000001</v>
      </c>
      <c r="L58" s="3">
        <v>0.39913891099999999</v>
      </c>
      <c r="M58" s="3"/>
      <c r="N58" s="3" t="s">
        <v>76</v>
      </c>
      <c r="O58" s="3">
        <f t="shared" ref="O58:O77" si="21">F58+G58</f>
        <v>6.9104938000000005E-2</v>
      </c>
      <c r="P58" s="3">
        <f t="shared" ref="P58:P77" si="22">H58+I58</f>
        <v>0.55532984299999999</v>
      </c>
      <c r="Q58" s="3">
        <f t="shared" ref="Q58:Q77" si="23">O58*COS(RADIANS(D58))-P58*SIN(RADIANS(D58))</f>
        <v>6.9104938000000005E-2</v>
      </c>
      <c r="R58" s="4">
        <f t="shared" ref="R58:R77" si="24">(O58*SIN(RADIANS(D58)))+(P58*(COS(RADIANS(D58))))</f>
        <v>0.55532984299999999</v>
      </c>
      <c r="S58" s="3"/>
      <c r="T58" s="3"/>
      <c r="U58" s="3"/>
      <c r="V58" s="3">
        <f t="shared" ref="V58:V77" si="25">0.5*$X$5*$L58^2</f>
        <v>79.655935137132957</v>
      </c>
      <c r="W58" s="3">
        <f t="shared" ref="W58:W77" si="26">$O58/($X$4*$V58)</f>
        <v>1.7777517678300853E-2</v>
      </c>
      <c r="X58" s="3">
        <f t="shared" ref="X58:X77" si="27">$P58/($X$4*$V58)</f>
        <v>0.14286079094985277</v>
      </c>
      <c r="Y58" s="3">
        <f t="shared" ref="Y58:Y77" si="28">$Q58/($X$4*$V58)</f>
        <v>1.7777517678300853E-2</v>
      </c>
      <c r="Z58" s="3">
        <f t="shared" ref="Z58:Z77" si="29">$R58/($X$4*$V58)</f>
        <v>0.14286079094985277</v>
      </c>
    </row>
    <row r="59" spans="1:26">
      <c r="A59" s="14"/>
      <c r="B59" s="14" t="s">
        <v>33</v>
      </c>
      <c r="C59" s="14">
        <v>20</v>
      </c>
      <c r="D59" s="14">
        <v>0</v>
      </c>
      <c r="E59" s="14">
        <v>0.4</v>
      </c>
      <c r="F59" s="14">
        <v>1.9267218999999999E-2</v>
      </c>
      <c r="G59" s="14">
        <v>7.5753399999999999E-3</v>
      </c>
      <c r="H59" s="14">
        <v>-9.1291611999999994E-2</v>
      </c>
      <c r="I59" s="14">
        <v>1.0730915000000001E-2</v>
      </c>
      <c r="J59" s="14">
        <v>19.029204929999999</v>
      </c>
      <c r="K59" s="14">
        <v>2.5068831569999999</v>
      </c>
      <c r="L59" s="14">
        <v>0.39914658200000003</v>
      </c>
      <c r="M59" s="14"/>
      <c r="N59" s="14" t="s">
        <v>77</v>
      </c>
      <c r="O59" s="14">
        <f t="shared" si="21"/>
        <v>2.6842558999999998E-2</v>
      </c>
      <c r="P59" s="14">
        <f t="shared" si="22"/>
        <v>-8.0560696999999987E-2</v>
      </c>
      <c r="Q59" s="14">
        <f t="shared" si="23"/>
        <v>2.6842558999999998E-2</v>
      </c>
      <c r="R59" s="19">
        <f t="shared" si="24"/>
        <v>-8.0560696999999987E-2</v>
      </c>
      <c r="S59" s="14"/>
      <c r="T59" s="14"/>
      <c r="U59" s="14"/>
      <c r="V59" s="14">
        <f t="shared" si="25"/>
        <v>79.658996961141369</v>
      </c>
      <c r="W59" s="14">
        <f t="shared" si="26"/>
        <v>6.9050886843693548E-3</v>
      </c>
      <c r="X59" s="14">
        <f t="shared" si="27"/>
        <v>-2.0723760251755735E-2</v>
      </c>
      <c r="Y59" s="14">
        <f t="shared" si="28"/>
        <v>6.9050886843693548E-3</v>
      </c>
      <c r="Z59" s="14">
        <f t="shared" si="29"/>
        <v>-2.0723760251755735E-2</v>
      </c>
    </row>
    <row r="60" spans="1:26">
      <c r="A60" s="14" t="s">
        <v>32</v>
      </c>
      <c r="B60" s="14" t="s">
        <v>33</v>
      </c>
      <c r="C60" s="14">
        <v>21</v>
      </c>
      <c r="D60" s="14">
        <v>0</v>
      </c>
      <c r="E60" s="14">
        <v>0.8</v>
      </c>
      <c r="F60" s="14">
        <v>0.15587020800000001</v>
      </c>
      <c r="G60" s="14">
        <v>5.9043216000000003E-2</v>
      </c>
      <c r="H60" s="14">
        <v>0.36440588899999998</v>
      </c>
      <c r="I60" s="14">
        <v>-2.2851435E-2</v>
      </c>
      <c r="J60" s="14">
        <v>19.029933809999999</v>
      </c>
      <c r="K60" s="14">
        <v>2.5045315430000001</v>
      </c>
      <c r="L60" s="14">
        <v>0.81058608600000004</v>
      </c>
      <c r="M60" s="14"/>
      <c r="N60" s="14"/>
      <c r="O60" s="14">
        <f t="shared" si="21"/>
        <v>0.21491342400000002</v>
      </c>
      <c r="P60" s="14">
        <f t="shared" si="22"/>
        <v>0.34155445400000001</v>
      </c>
      <c r="Q60" s="14">
        <f t="shared" si="23"/>
        <v>0.21491342400000002</v>
      </c>
      <c r="R60" s="19">
        <f t="shared" si="24"/>
        <v>0.34155445400000001</v>
      </c>
      <c r="S60" s="14"/>
      <c r="T60" s="14"/>
      <c r="U60" s="14"/>
      <c r="V60" s="14">
        <f t="shared" si="25"/>
        <v>328.52490140839973</v>
      </c>
      <c r="W60" s="14">
        <f t="shared" si="26"/>
        <v>1.3405265742954049E-2</v>
      </c>
      <c r="X60" s="14">
        <f t="shared" si="27"/>
        <v>2.1304524102503594E-2</v>
      </c>
      <c r="Y60" s="14">
        <f t="shared" si="28"/>
        <v>1.3405265742954049E-2</v>
      </c>
      <c r="Z60" s="14">
        <f t="shared" si="29"/>
        <v>2.1304524102503594E-2</v>
      </c>
    </row>
    <row r="61" spans="1:26">
      <c r="A61" s="14" t="s">
        <v>32</v>
      </c>
      <c r="B61" s="14" t="s">
        <v>33</v>
      </c>
      <c r="C61" s="14">
        <v>22</v>
      </c>
      <c r="D61" s="14">
        <v>0</v>
      </c>
      <c r="E61" s="14">
        <v>1.2</v>
      </c>
      <c r="F61" s="14">
        <v>0.343205649</v>
      </c>
      <c r="G61" s="14">
        <v>0.14194786000000001</v>
      </c>
      <c r="H61" s="14">
        <v>0.32610130599999998</v>
      </c>
      <c r="I61" s="14">
        <v>-4.7274987999999997E-2</v>
      </c>
      <c r="J61" s="14">
        <v>19.031796499999999</v>
      </c>
      <c r="K61" s="14">
        <v>2.5048799329999998</v>
      </c>
      <c r="L61" s="14">
        <v>1.194643787</v>
      </c>
      <c r="M61" s="14"/>
      <c r="N61" s="14" t="s">
        <v>78</v>
      </c>
      <c r="O61" s="14">
        <f t="shared" si="21"/>
        <v>0.48515350899999998</v>
      </c>
      <c r="P61" s="14">
        <f t="shared" si="22"/>
        <v>0.27882631799999996</v>
      </c>
      <c r="Q61" s="14">
        <f t="shared" si="23"/>
        <v>0.48515350899999998</v>
      </c>
      <c r="R61" s="19">
        <f t="shared" si="24"/>
        <v>0.27882631799999996</v>
      </c>
      <c r="S61" s="14"/>
      <c r="T61" s="14"/>
      <c r="U61" s="14"/>
      <c r="V61" s="14">
        <f t="shared" si="25"/>
        <v>713.5868889088506</v>
      </c>
      <c r="W61" s="14">
        <f t="shared" si="26"/>
        <v>1.3931968791628587E-2</v>
      </c>
      <c r="X61" s="14">
        <f t="shared" si="27"/>
        <v>8.0069493234577582E-3</v>
      </c>
      <c r="Y61" s="14">
        <f t="shared" si="28"/>
        <v>1.3931968791628587E-2</v>
      </c>
      <c r="Z61" s="14">
        <f t="shared" si="29"/>
        <v>8.0069493234577582E-3</v>
      </c>
    </row>
    <row r="62" spans="1:26">
      <c r="A62" s="14" t="s">
        <v>32</v>
      </c>
      <c r="B62" s="14" t="s">
        <v>33</v>
      </c>
      <c r="C62" s="14">
        <v>23</v>
      </c>
      <c r="D62" s="14">
        <v>0</v>
      </c>
      <c r="E62" s="14">
        <v>0.8</v>
      </c>
      <c r="F62" s="14">
        <v>0.1524201</v>
      </c>
      <c r="G62" s="14">
        <v>7.0418999999999995E-2</v>
      </c>
      <c r="H62" s="14">
        <v>3.3959205999999999E-2</v>
      </c>
      <c r="I62" s="14">
        <v>-1.4502842E-2</v>
      </c>
      <c r="J62" s="14">
        <v>19.038275429999999</v>
      </c>
      <c r="K62" s="14">
        <v>2.505925092</v>
      </c>
      <c r="L62" s="14">
        <v>0.80943578100000002</v>
      </c>
      <c r="M62" s="14"/>
      <c r="N62" s="14" t="s">
        <v>79</v>
      </c>
      <c r="O62" s="14">
        <f t="shared" si="21"/>
        <v>0.22283910000000001</v>
      </c>
      <c r="P62" s="14">
        <f t="shared" si="22"/>
        <v>1.9456363999999997E-2</v>
      </c>
      <c r="Q62" s="14">
        <f t="shared" si="23"/>
        <v>0.22283910000000001</v>
      </c>
      <c r="R62" s="19">
        <f t="shared" si="24"/>
        <v>1.9456363999999997E-2</v>
      </c>
      <c r="S62" s="14"/>
      <c r="T62" s="14"/>
      <c r="U62" s="14"/>
      <c r="V62" s="14">
        <f t="shared" si="25"/>
        <v>327.59314178154</v>
      </c>
      <c r="W62" s="14">
        <f t="shared" si="26"/>
        <v>1.3939165439077323E-2</v>
      </c>
      <c r="X62" s="14">
        <f t="shared" si="27"/>
        <v>1.2170461855164024E-3</v>
      </c>
      <c r="Y62" s="14">
        <f t="shared" si="28"/>
        <v>1.3939165439077323E-2</v>
      </c>
      <c r="Z62" s="14">
        <f t="shared" si="29"/>
        <v>1.2170461855164024E-3</v>
      </c>
    </row>
    <row r="63" spans="1:26">
      <c r="A63" t="s">
        <v>34</v>
      </c>
      <c r="B63" t="s">
        <v>33</v>
      </c>
      <c r="C63">
        <v>24</v>
      </c>
      <c r="D63">
        <v>0</v>
      </c>
      <c r="E63">
        <v>0.4</v>
      </c>
      <c r="F63">
        <v>2.1046354E-2</v>
      </c>
      <c r="G63">
        <v>1.2003045E-2</v>
      </c>
      <c r="H63">
        <v>7.2318510000000001E-3</v>
      </c>
      <c r="I63">
        <v>-6.5167150000000002E-3</v>
      </c>
      <c r="J63">
        <v>14.109663039999999</v>
      </c>
      <c r="K63">
        <v>2.627163779</v>
      </c>
      <c r="L63">
        <v>0.40046712400000001</v>
      </c>
      <c r="M63">
        <v>9.26</v>
      </c>
      <c r="N63" t="s">
        <v>80</v>
      </c>
      <c r="O63">
        <f t="shared" si="21"/>
        <v>3.3049399E-2</v>
      </c>
      <c r="P63">
        <f t="shared" si="22"/>
        <v>7.151359999999999E-4</v>
      </c>
      <c r="Q63">
        <f t="shared" si="23"/>
        <v>3.3049399E-2</v>
      </c>
      <c r="R63" s="1">
        <f t="shared" si="24"/>
        <v>7.151359999999999E-4</v>
      </c>
      <c r="V63">
        <f t="shared" si="25"/>
        <v>80.186958702415694</v>
      </c>
      <c r="W63">
        <f t="shared" si="26"/>
        <v>8.4457846231607084E-3</v>
      </c>
      <c r="X63">
        <f t="shared" si="27"/>
        <v>1.8275323651932839E-4</v>
      </c>
      <c r="Y63">
        <f t="shared" si="28"/>
        <v>8.4457846231607084E-3</v>
      </c>
      <c r="Z63">
        <f t="shared" si="29"/>
        <v>1.8275323651932839E-4</v>
      </c>
    </row>
    <row r="64" spans="1:26">
      <c r="A64" t="s">
        <v>34</v>
      </c>
      <c r="B64" t="s">
        <v>33</v>
      </c>
      <c r="C64">
        <v>25</v>
      </c>
      <c r="D64">
        <v>0</v>
      </c>
      <c r="E64">
        <v>0.8</v>
      </c>
      <c r="F64">
        <v>0.11523544600000001</v>
      </c>
      <c r="G64">
        <v>3.5644741000000001E-2</v>
      </c>
      <c r="H64">
        <v>5.5760074E-2</v>
      </c>
      <c r="I64">
        <v>-1.9477532999999998E-2</v>
      </c>
      <c r="J64">
        <v>14.11436026</v>
      </c>
      <c r="K64">
        <v>2.6225476759999999</v>
      </c>
      <c r="L64">
        <v>0.80883299900000005</v>
      </c>
      <c r="M64">
        <v>9.3699999999999992</v>
      </c>
      <c r="O64">
        <f t="shared" si="21"/>
        <v>0.150880187</v>
      </c>
      <c r="P64">
        <f t="shared" si="22"/>
        <v>3.6282541000000001E-2</v>
      </c>
      <c r="Q64">
        <f t="shared" si="23"/>
        <v>0.150880187</v>
      </c>
      <c r="R64" s="1">
        <f t="shared" si="24"/>
        <v>3.6282541000000001E-2</v>
      </c>
      <c r="V64">
        <f t="shared" si="25"/>
        <v>327.105410135667</v>
      </c>
      <c r="W64">
        <f t="shared" si="26"/>
        <v>9.4520207090839931E-3</v>
      </c>
      <c r="X64">
        <f t="shared" si="27"/>
        <v>2.2729513777060011E-3</v>
      </c>
      <c r="Y64">
        <f t="shared" si="28"/>
        <v>9.4520207090839931E-3</v>
      </c>
      <c r="Z64">
        <f t="shared" si="29"/>
        <v>2.2729513777060011E-3</v>
      </c>
    </row>
    <row r="65" spans="1:26">
      <c r="A65" t="s">
        <v>34</v>
      </c>
      <c r="B65" t="s">
        <v>33</v>
      </c>
      <c r="C65">
        <v>26</v>
      </c>
      <c r="D65">
        <v>0</v>
      </c>
      <c r="E65">
        <v>1.2</v>
      </c>
      <c r="F65">
        <v>0.36786660999999998</v>
      </c>
      <c r="G65">
        <v>0.17957532000000001</v>
      </c>
      <c r="H65">
        <v>0.13802932300000001</v>
      </c>
      <c r="I65">
        <v>-2.1595818999999999E-2</v>
      </c>
      <c r="J65">
        <v>14.11549407</v>
      </c>
      <c r="K65">
        <v>2.621154142</v>
      </c>
      <c r="L65">
        <v>1.196493461</v>
      </c>
      <c r="M65">
        <v>9.52</v>
      </c>
      <c r="O65">
        <f t="shared" si="21"/>
        <v>0.54744192999999997</v>
      </c>
      <c r="P65">
        <f t="shared" si="22"/>
        <v>0.11643350400000001</v>
      </c>
      <c r="Q65">
        <f t="shared" si="23"/>
        <v>0.54744192999999997</v>
      </c>
      <c r="R65" s="1">
        <f t="shared" si="24"/>
        <v>0.11643350400000001</v>
      </c>
      <c r="V65">
        <f t="shared" si="25"/>
        <v>715.79830110787918</v>
      </c>
      <c r="W65">
        <f t="shared" si="26"/>
        <v>1.5672113664844924E-2</v>
      </c>
      <c r="X65">
        <f t="shared" si="27"/>
        <v>3.3332468871797526E-3</v>
      </c>
      <c r="Y65">
        <f t="shared" si="28"/>
        <v>1.5672113664844924E-2</v>
      </c>
      <c r="Z65">
        <f t="shared" si="29"/>
        <v>3.3332468871797526E-3</v>
      </c>
    </row>
    <row r="66" spans="1:26">
      <c r="A66" t="s">
        <v>34</v>
      </c>
      <c r="B66" t="s">
        <v>33</v>
      </c>
      <c r="C66">
        <v>27</v>
      </c>
      <c r="D66">
        <v>4</v>
      </c>
      <c r="E66">
        <v>0.4</v>
      </c>
      <c r="F66">
        <v>6.0814221000000002E-2</v>
      </c>
      <c r="G66">
        <v>-3.7860810000000002E-2</v>
      </c>
      <c r="H66">
        <v>9.5815391E-2</v>
      </c>
      <c r="I66">
        <v>5.9251479999999999E-3</v>
      </c>
      <c r="J66">
        <v>14.11589901</v>
      </c>
      <c r="K66">
        <v>2.6189767270000002</v>
      </c>
      <c r="L66">
        <v>0.399398115</v>
      </c>
      <c r="M66">
        <v>10.19</v>
      </c>
      <c r="O66">
        <f t="shared" si="21"/>
        <v>2.2953411E-2</v>
      </c>
      <c r="P66">
        <f t="shared" si="22"/>
        <v>0.101740539</v>
      </c>
      <c r="Q66">
        <f t="shared" si="23"/>
        <v>1.5800436406971746E-2</v>
      </c>
      <c r="R66" s="1">
        <f t="shared" si="24"/>
        <v>0.10309385317221723</v>
      </c>
      <c r="V66">
        <f t="shared" si="25"/>
        <v>79.759427132776622</v>
      </c>
      <c r="W66">
        <f t="shared" si="26"/>
        <v>5.8971935944810107E-3</v>
      </c>
      <c r="X66">
        <f t="shared" si="27"/>
        <v>2.613919364271591E-2</v>
      </c>
      <c r="Y66">
        <f t="shared" si="28"/>
        <v>4.0594503522460492E-3</v>
      </c>
      <c r="Z66">
        <f t="shared" si="29"/>
        <v>2.648688731089097E-2</v>
      </c>
    </row>
    <row r="67" spans="1:26">
      <c r="A67" t="s">
        <v>34</v>
      </c>
      <c r="B67" t="s">
        <v>33</v>
      </c>
      <c r="C67">
        <v>28</v>
      </c>
      <c r="D67">
        <v>4</v>
      </c>
      <c r="E67">
        <v>0.8</v>
      </c>
      <c r="F67">
        <v>0.37278871000000002</v>
      </c>
      <c r="G67">
        <v>-0.1015871</v>
      </c>
      <c r="H67">
        <v>0.41695452100000002</v>
      </c>
      <c r="I67">
        <v>1.960388E-3</v>
      </c>
      <c r="J67">
        <v>14.111606719999999</v>
      </c>
      <c r="K67">
        <v>2.6210670359999999</v>
      </c>
      <c r="L67">
        <v>0.80615512700000003</v>
      </c>
      <c r="M67">
        <v>10.33</v>
      </c>
      <c r="O67">
        <f t="shared" si="21"/>
        <v>0.27120161000000004</v>
      </c>
      <c r="P67">
        <f t="shared" si="22"/>
        <v>0.418914909</v>
      </c>
      <c r="Q67">
        <f t="shared" si="23"/>
        <v>0.24131894965790412</v>
      </c>
      <c r="R67" s="1">
        <f t="shared" si="24"/>
        <v>0.43681252132359522</v>
      </c>
      <c r="V67">
        <f t="shared" si="25"/>
        <v>324.94304439419307</v>
      </c>
      <c r="W67">
        <f t="shared" si="26"/>
        <v>1.7102720420880384E-2</v>
      </c>
      <c r="X67">
        <f t="shared" si="27"/>
        <v>2.6417927860994436E-2</v>
      </c>
      <c r="Y67">
        <f t="shared" si="28"/>
        <v>1.5218237562305186E-2</v>
      </c>
      <c r="Z67">
        <f t="shared" si="29"/>
        <v>2.7546600584477724E-2</v>
      </c>
    </row>
    <row r="68" spans="1:26">
      <c r="A68" t="s">
        <v>34</v>
      </c>
      <c r="B68" t="s">
        <v>33</v>
      </c>
      <c r="C68">
        <v>29</v>
      </c>
      <c r="D68">
        <v>4</v>
      </c>
      <c r="E68">
        <v>1.2</v>
      </c>
      <c r="F68">
        <v>0.83624516000000004</v>
      </c>
      <c r="G68">
        <v>-0.27877865400000001</v>
      </c>
      <c r="H68">
        <v>0.95276234400000004</v>
      </c>
      <c r="I68">
        <v>4.4861285000000001E-2</v>
      </c>
      <c r="J68">
        <v>14.11371237</v>
      </c>
      <c r="K68">
        <v>2.6239411970000002</v>
      </c>
      <c r="L68">
        <v>1.196628434</v>
      </c>
      <c r="M68">
        <v>11.07</v>
      </c>
      <c r="N68" t="s">
        <v>81</v>
      </c>
      <c r="O68">
        <f t="shared" si="21"/>
        <v>0.55746650600000003</v>
      </c>
      <c r="P68">
        <f t="shared" si="22"/>
        <v>0.99762362900000001</v>
      </c>
      <c r="Q68">
        <f t="shared" si="23"/>
        <v>0.48651783912669511</v>
      </c>
      <c r="R68" s="1">
        <f t="shared" si="24"/>
        <v>1.0340803656691624</v>
      </c>
      <c r="V68">
        <f t="shared" si="25"/>
        <v>715.95980452864615</v>
      </c>
      <c r="W68">
        <f t="shared" si="26"/>
        <v>1.5955496248746145E-2</v>
      </c>
      <c r="X68">
        <f t="shared" si="27"/>
        <v>2.8553428589609315E-2</v>
      </c>
      <c r="Y68">
        <f t="shared" si="28"/>
        <v>1.3924842970088796E-2</v>
      </c>
      <c r="Z68">
        <f t="shared" si="29"/>
        <v>2.9596873027805476E-2</v>
      </c>
    </row>
    <row r="69" spans="1:26">
      <c r="A69" t="s">
        <v>34</v>
      </c>
      <c r="B69" t="s">
        <v>33</v>
      </c>
      <c r="C69">
        <v>30</v>
      </c>
      <c r="D69">
        <v>8</v>
      </c>
      <c r="E69">
        <v>0.4</v>
      </c>
      <c r="F69">
        <v>0.19432281900000001</v>
      </c>
      <c r="G69">
        <v>-5.7865092999999999E-2</v>
      </c>
      <c r="H69">
        <v>0.22093576200000001</v>
      </c>
      <c r="I69">
        <v>1.3068879E-2</v>
      </c>
      <c r="J69">
        <v>14.110634879999999</v>
      </c>
      <c r="K69">
        <v>2.6244638220000001</v>
      </c>
      <c r="L69">
        <v>0.39947481400000001</v>
      </c>
      <c r="O69">
        <f t="shared" si="21"/>
        <v>0.136457726</v>
      </c>
      <c r="P69">
        <f t="shared" si="22"/>
        <v>0.23400464100000001</v>
      </c>
      <c r="Q69">
        <f t="shared" si="23"/>
        <v>0.1025625772638695</v>
      </c>
      <c r="R69" s="1">
        <f t="shared" si="24"/>
        <v>0.25071856879701349</v>
      </c>
      <c r="V69">
        <f t="shared" si="25"/>
        <v>79.7900635101673</v>
      </c>
      <c r="W69">
        <f t="shared" si="26"/>
        <v>3.5045276993580336E-2</v>
      </c>
      <c r="X69">
        <f t="shared" si="27"/>
        <v>6.0097421392089782E-2</v>
      </c>
      <c r="Y69">
        <f t="shared" si="28"/>
        <v>2.6340274272105276E-2</v>
      </c>
      <c r="Z69">
        <f t="shared" si="29"/>
        <v>6.4389917291494111E-2</v>
      </c>
    </row>
    <row r="70" spans="1:26">
      <c r="A70" t="s">
        <v>34</v>
      </c>
      <c r="B70" t="s">
        <v>33</v>
      </c>
      <c r="C70">
        <v>31</v>
      </c>
      <c r="D70">
        <v>8</v>
      </c>
      <c r="E70">
        <v>0.8</v>
      </c>
      <c r="F70">
        <v>0.67018778000000001</v>
      </c>
      <c r="G70">
        <v>-0.44251211899999998</v>
      </c>
      <c r="H70">
        <v>0.98631027299999996</v>
      </c>
      <c r="I70">
        <v>8.0697616E-2</v>
      </c>
      <c r="J70">
        <v>14.109015149999999</v>
      </c>
      <c r="K70">
        <v>2.6201960629999999</v>
      </c>
      <c r="L70">
        <v>0.80940050100000005</v>
      </c>
      <c r="O70">
        <f t="shared" si="21"/>
        <v>0.22767566100000003</v>
      </c>
      <c r="P70">
        <f t="shared" si="22"/>
        <v>1.0670078889999999</v>
      </c>
      <c r="Q70">
        <f t="shared" si="23"/>
        <v>7.6961140456947214E-2</v>
      </c>
      <c r="R70" s="1">
        <f t="shared" si="24"/>
        <v>1.0883101693265522</v>
      </c>
      <c r="V70">
        <f t="shared" si="25"/>
        <v>327.56458550952556</v>
      </c>
      <c r="W70">
        <f t="shared" si="26"/>
        <v>1.4242946469015361E-2</v>
      </c>
      <c r="X70">
        <f t="shared" si="27"/>
        <v>6.6749937952498492E-2</v>
      </c>
      <c r="Y70">
        <f t="shared" si="28"/>
        <v>4.8145392393202343E-3</v>
      </c>
      <c r="Z70">
        <f t="shared" si="29"/>
        <v>6.8082567171741409E-2</v>
      </c>
    </row>
    <row r="71" spans="1:26">
      <c r="A71" t="s">
        <v>34</v>
      </c>
      <c r="B71" t="s">
        <v>33</v>
      </c>
      <c r="C71">
        <v>32</v>
      </c>
      <c r="D71">
        <v>8</v>
      </c>
      <c r="E71">
        <v>1.2</v>
      </c>
      <c r="F71">
        <v>1.6707822510000001</v>
      </c>
      <c r="G71">
        <v>-0.88324630599999998</v>
      </c>
      <c r="H71">
        <v>2.204056601</v>
      </c>
      <c r="I71">
        <v>0.17844663699999999</v>
      </c>
      <c r="J71">
        <v>14.10245523</v>
      </c>
      <c r="K71">
        <v>2.6229831510000001</v>
      </c>
      <c r="L71">
        <v>1.1938263140000001</v>
      </c>
      <c r="N71" t="s">
        <v>82</v>
      </c>
      <c r="O71">
        <f t="shared" si="21"/>
        <v>0.78753594500000013</v>
      </c>
      <c r="P71">
        <f t="shared" si="22"/>
        <v>2.382503238</v>
      </c>
      <c r="Q71">
        <f t="shared" si="23"/>
        <v>0.44829133563986084</v>
      </c>
      <c r="R71" s="1">
        <f t="shared" si="24"/>
        <v>2.4689206998479638</v>
      </c>
      <c r="V71">
        <f t="shared" si="25"/>
        <v>712.61063399941338</v>
      </c>
      <c r="W71">
        <f t="shared" si="26"/>
        <v>2.2646352566006406E-2</v>
      </c>
      <c r="X71">
        <f t="shared" si="27"/>
        <v>6.8511169121810517E-2</v>
      </c>
      <c r="Y71">
        <f t="shared" si="28"/>
        <v>1.2891047962498016E-2</v>
      </c>
      <c r="Z71">
        <f t="shared" si="29"/>
        <v>7.0996186245528461E-2</v>
      </c>
    </row>
    <row r="72" spans="1:26">
      <c r="A72" t="s">
        <v>34</v>
      </c>
      <c r="B72" t="s">
        <v>33</v>
      </c>
      <c r="C72">
        <v>33</v>
      </c>
      <c r="D72">
        <v>12</v>
      </c>
      <c r="E72">
        <v>0.4</v>
      </c>
      <c r="F72">
        <v>0.25932134600000001</v>
      </c>
      <c r="G72">
        <v>-0.166148254</v>
      </c>
      <c r="H72">
        <v>0.41657707100000002</v>
      </c>
      <c r="I72">
        <v>7.7353929000000002E-2</v>
      </c>
      <c r="J72">
        <v>14.101564379999999</v>
      </c>
      <c r="K72">
        <v>2.6186283509999999</v>
      </c>
      <c r="L72">
        <v>0.39940424800000002</v>
      </c>
      <c r="O72">
        <f t="shared" si="21"/>
        <v>9.3173092000000013E-2</v>
      </c>
      <c r="P72">
        <f t="shared" si="22"/>
        <v>0.49393100000000001</v>
      </c>
      <c r="Q72">
        <f t="shared" si="23"/>
        <v>-1.1556992964556534E-2</v>
      </c>
      <c r="R72" s="1">
        <f t="shared" si="24"/>
        <v>0.50250919767448798</v>
      </c>
      <c r="V72">
        <f t="shared" si="25"/>
        <v>79.761876660222754</v>
      </c>
      <c r="W72">
        <f t="shared" si="26"/>
        <v>2.3937308800600323E-2</v>
      </c>
      <c r="X72">
        <f t="shared" si="27"/>
        <v>0.12689692506060996</v>
      </c>
      <c r="Y72">
        <f t="shared" si="28"/>
        <v>-2.9691330775944956E-3</v>
      </c>
      <c r="Z72">
        <f t="shared" si="29"/>
        <v>0.1291007691348928</v>
      </c>
    </row>
    <row r="73" spans="1:26">
      <c r="A73" t="s">
        <v>34</v>
      </c>
      <c r="B73" t="s">
        <v>33</v>
      </c>
      <c r="C73">
        <v>34</v>
      </c>
      <c r="D73">
        <v>12</v>
      </c>
      <c r="E73">
        <v>0.8</v>
      </c>
      <c r="F73">
        <v>1.3398813199999999</v>
      </c>
      <c r="G73">
        <v>-0.65067857200000001</v>
      </c>
      <c r="H73">
        <v>1.728044777</v>
      </c>
      <c r="I73">
        <v>0.15539990200000001</v>
      </c>
      <c r="J73">
        <v>14.099620699999999</v>
      </c>
      <c r="K73">
        <v>2.6196735059999998</v>
      </c>
      <c r="L73">
        <v>0.80926551300000005</v>
      </c>
      <c r="M73">
        <v>13.03</v>
      </c>
      <c r="O73">
        <f t="shared" si="21"/>
        <v>0.68920274799999992</v>
      </c>
      <c r="P73">
        <f t="shared" si="22"/>
        <v>1.8834446790000001</v>
      </c>
      <c r="Q73">
        <f t="shared" si="23"/>
        <v>0.28255184660274357</v>
      </c>
      <c r="R73" s="1">
        <f t="shared" si="24"/>
        <v>1.9855802025316289</v>
      </c>
      <c r="V73">
        <f t="shared" si="25"/>
        <v>327.45533526557665</v>
      </c>
      <c r="W73">
        <f t="shared" si="26"/>
        <v>4.3129567944566648E-2</v>
      </c>
      <c r="X73">
        <f t="shared" si="27"/>
        <v>0.11786394567997723</v>
      </c>
      <c r="Y73">
        <f t="shared" si="28"/>
        <v>1.7681791172886912E-2</v>
      </c>
      <c r="Z73">
        <f t="shared" si="29"/>
        <v>0.12425547707548359</v>
      </c>
    </row>
    <row r="74" spans="1:26">
      <c r="A74" t="s">
        <v>34</v>
      </c>
      <c r="B74" t="s">
        <v>33</v>
      </c>
      <c r="C74">
        <v>35</v>
      </c>
      <c r="D74">
        <v>12</v>
      </c>
      <c r="E74">
        <v>1.2</v>
      </c>
      <c r="F74">
        <v>2.6479469529999999</v>
      </c>
      <c r="G74">
        <v>-1.413668951</v>
      </c>
      <c r="H74">
        <v>3.8077908539999998</v>
      </c>
      <c r="I74">
        <v>0.58679050600000005</v>
      </c>
      <c r="J74">
        <v>14.0971911</v>
      </c>
      <c r="K74">
        <v>2.6201960839999998</v>
      </c>
      <c r="L74">
        <v>1.1966545070000001</v>
      </c>
      <c r="M74">
        <v>14</v>
      </c>
      <c r="N74" t="s">
        <v>83</v>
      </c>
      <c r="O74">
        <f t="shared" si="21"/>
        <v>1.2342780019999999</v>
      </c>
      <c r="P74">
        <f t="shared" si="22"/>
        <v>4.3945813600000001</v>
      </c>
      <c r="Q74">
        <f t="shared" si="23"/>
        <v>0.29362122530100698</v>
      </c>
      <c r="R74" s="1">
        <f t="shared" si="24"/>
        <v>4.5551700398484911</v>
      </c>
      <c r="V74">
        <f t="shared" si="25"/>
        <v>715.99100456170663</v>
      </c>
      <c r="W74">
        <f t="shared" si="26"/>
        <v>3.5325279014754601E-2</v>
      </c>
      <c r="X74">
        <f t="shared" si="27"/>
        <v>0.12577378227878336</v>
      </c>
      <c r="Y74">
        <f t="shared" si="28"/>
        <v>8.4034971794078803E-3</v>
      </c>
      <c r="Z74">
        <f t="shared" si="29"/>
        <v>0.13036986185977475</v>
      </c>
    </row>
    <row r="75" spans="1:26">
      <c r="A75" t="s">
        <v>34</v>
      </c>
      <c r="B75" t="s">
        <v>33</v>
      </c>
      <c r="C75">
        <v>36</v>
      </c>
      <c r="D75">
        <v>16</v>
      </c>
      <c r="E75">
        <v>0.4</v>
      </c>
      <c r="F75">
        <v>0.47091592300000001</v>
      </c>
      <c r="G75">
        <v>-0.22644687299999999</v>
      </c>
      <c r="H75">
        <v>0.64302978600000005</v>
      </c>
      <c r="I75">
        <v>9.6492265999999993E-2</v>
      </c>
      <c r="J75">
        <v>14.099620699999999</v>
      </c>
      <c r="K75">
        <v>2.6154057719999999</v>
      </c>
      <c r="L75">
        <v>0.400806094</v>
      </c>
      <c r="O75">
        <f t="shared" si="21"/>
        <v>0.24446905000000002</v>
      </c>
      <c r="P75">
        <f t="shared" si="22"/>
        <v>0.7395220520000001</v>
      </c>
      <c r="Q75">
        <f t="shared" si="23"/>
        <v>3.1158830625788309E-2</v>
      </c>
      <c r="R75" s="1">
        <f t="shared" si="24"/>
        <v>0.77825902441039951</v>
      </c>
      <c r="V75">
        <f t="shared" si="25"/>
        <v>80.322762493768423</v>
      </c>
      <c r="W75">
        <f t="shared" si="26"/>
        <v>6.2368518272968056E-2</v>
      </c>
      <c r="X75">
        <f t="shared" si="27"/>
        <v>0.18866557796753755</v>
      </c>
      <c r="Y75">
        <f t="shared" si="28"/>
        <v>7.9491866035753585E-3</v>
      </c>
      <c r="Z75">
        <f t="shared" si="29"/>
        <v>0.19854808690524339</v>
      </c>
    </row>
    <row r="76" spans="1:26">
      <c r="A76" t="s">
        <v>34</v>
      </c>
      <c r="B76" t="s">
        <v>33</v>
      </c>
      <c r="C76">
        <v>37</v>
      </c>
      <c r="D76">
        <v>16</v>
      </c>
      <c r="E76">
        <v>0.8</v>
      </c>
      <c r="F76">
        <v>1.7971360409999999</v>
      </c>
      <c r="G76">
        <v>-0.86077526800000004</v>
      </c>
      <c r="H76">
        <v>2.5523701569999999</v>
      </c>
      <c r="I76">
        <v>0.43354508899999999</v>
      </c>
      <c r="J76">
        <v>14.098648860000001</v>
      </c>
      <c r="K76">
        <v>2.616276751</v>
      </c>
      <c r="L76">
        <v>0.80830082800000003</v>
      </c>
      <c r="O76">
        <f t="shared" si="21"/>
        <v>0.93636077299999987</v>
      </c>
      <c r="P76">
        <f t="shared" si="22"/>
        <v>2.9859152459999998</v>
      </c>
      <c r="Q76">
        <f t="shared" si="23"/>
        <v>7.7057961562990607E-2</v>
      </c>
      <c r="R76" s="1">
        <f t="shared" si="24"/>
        <v>3.1283419608585237</v>
      </c>
      <c r="V76">
        <f t="shared" si="25"/>
        <v>326.6751142727428</v>
      </c>
      <c r="W76">
        <f t="shared" si="26"/>
        <v>5.8736401763915161E-2</v>
      </c>
      <c r="X76">
        <f t="shared" si="27"/>
        <v>0.18730164972647309</v>
      </c>
      <c r="Y76">
        <f t="shared" si="28"/>
        <v>4.8337217021287467E-3</v>
      </c>
      <c r="Z76">
        <f t="shared" si="29"/>
        <v>0.19623584794052498</v>
      </c>
    </row>
    <row r="77" spans="1:26">
      <c r="A77" t="s">
        <v>34</v>
      </c>
      <c r="B77" t="s">
        <v>33</v>
      </c>
      <c r="C77">
        <v>38</v>
      </c>
      <c r="D77">
        <v>16</v>
      </c>
      <c r="E77">
        <v>1.2</v>
      </c>
      <c r="F77">
        <v>4.1468372049999997</v>
      </c>
      <c r="G77">
        <v>-2.103905229</v>
      </c>
      <c r="H77">
        <v>5.7375318020000003</v>
      </c>
      <c r="I77">
        <v>0.73532994600000001</v>
      </c>
      <c r="J77">
        <v>14.096381239999999</v>
      </c>
      <c r="K77">
        <v>2.6194993150000001</v>
      </c>
      <c r="L77">
        <v>1.1968094140000001</v>
      </c>
      <c r="N77" t="s">
        <v>84</v>
      </c>
      <c r="O77">
        <f t="shared" si="21"/>
        <v>2.0429319759999998</v>
      </c>
      <c r="P77">
        <f t="shared" si="22"/>
        <v>6.4728617480000006</v>
      </c>
      <c r="Q77">
        <f t="shared" si="23"/>
        <v>0.17962975914866131</v>
      </c>
      <c r="R77" s="1">
        <f t="shared" si="24"/>
        <v>6.7852224294353896</v>
      </c>
      <c r="V77">
        <f t="shared" si="25"/>
        <v>716.17638671951181</v>
      </c>
      <c r="W77">
        <f t="shared" si="26"/>
        <v>5.8453979969504459E-2</v>
      </c>
      <c r="X77">
        <f t="shared" si="27"/>
        <v>0.1852066223486257</v>
      </c>
      <c r="Y77">
        <f t="shared" si="28"/>
        <v>5.1397082558576387E-3</v>
      </c>
      <c r="Z77">
        <f t="shared" si="29"/>
        <v>0.19414413237362177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73"/>
  <sheetViews>
    <sheetView topLeftCell="U5" zoomScale="75" zoomScaleNormal="87" workbookViewId="0">
      <selection activeCell="AQ111" sqref="AQ111"/>
    </sheetView>
  </sheetViews>
  <sheetFormatPr defaultColWidth="8.85546875" defaultRowHeight="15"/>
  <cols>
    <col min="14" max="14" width="37.42578125" customWidth="1"/>
  </cols>
  <sheetData>
    <row r="1" spans="1:26">
      <c r="A1" t="s">
        <v>86</v>
      </c>
      <c r="P1" t="s">
        <v>201</v>
      </c>
      <c r="Q1" t="s">
        <v>24</v>
      </c>
      <c r="R1" t="s">
        <v>29</v>
      </c>
    </row>
    <row r="2" spans="1:26">
      <c r="A2" t="s">
        <v>202</v>
      </c>
      <c r="L2" s="32" t="s">
        <v>203</v>
      </c>
      <c r="P2" t="str">
        <f>P$1&amp;", "&amp;$L2</f>
        <v>U, 0°</v>
      </c>
      <c r="Q2" t="str">
        <f t="shared" ref="Q2:R2" si="0">Q$1&amp;", "&amp;$L2</f>
        <v>V1, 0°</v>
      </c>
      <c r="R2" t="str">
        <f t="shared" si="0"/>
        <v>V2, 0°</v>
      </c>
    </row>
    <row r="3" spans="1:26">
      <c r="L3" t="s">
        <v>204</v>
      </c>
      <c r="P3" t="str">
        <f t="shared" ref="P3:R3" si="1">P$1&amp;", "&amp;$L3</f>
        <v>U, 4°</v>
      </c>
      <c r="Q3" t="str">
        <f t="shared" si="1"/>
        <v>V1, 4°</v>
      </c>
      <c r="R3" t="str">
        <f t="shared" si="1"/>
        <v>V2, 4°</v>
      </c>
    </row>
    <row r="4" spans="1:26">
      <c r="A4" t="s">
        <v>85</v>
      </c>
      <c r="L4" t="s">
        <v>205</v>
      </c>
      <c r="P4" t="str">
        <f t="shared" ref="P4:R7" si="2">P$1&amp;", "&amp;$L4</f>
        <v>U, 8°</v>
      </c>
      <c r="Q4" t="str">
        <f t="shared" si="2"/>
        <v>V1, 8°</v>
      </c>
      <c r="R4" t="str">
        <f t="shared" si="2"/>
        <v>V2, 8°</v>
      </c>
    </row>
    <row r="5" spans="1:26">
      <c r="L5" t="s">
        <v>206</v>
      </c>
      <c r="P5" t="str">
        <f t="shared" si="2"/>
        <v>U, 12°</v>
      </c>
      <c r="Q5" t="str">
        <f t="shared" si="2"/>
        <v>V1, 12°</v>
      </c>
      <c r="R5" t="str">
        <f t="shared" si="2"/>
        <v>V2, 12°</v>
      </c>
    </row>
    <row r="6" spans="1:26">
      <c r="L6" t="s">
        <v>207</v>
      </c>
      <c r="P6" t="str">
        <f t="shared" si="2"/>
        <v>U, 16°</v>
      </c>
      <c r="Q6" t="str">
        <f t="shared" si="2"/>
        <v>V1, 16°</v>
      </c>
      <c r="R6" t="str">
        <f t="shared" si="2"/>
        <v>V2, 16°</v>
      </c>
    </row>
    <row r="7" spans="1:26">
      <c r="L7" t="s">
        <v>208</v>
      </c>
      <c r="P7" t="str">
        <f t="shared" si="2"/>
        <v>U, 24°</v>
      </c>
      <c r="Q7" t="str">
        <f t="shared" si="2"/>
        <v>V1, 24°</v>
      </c>
      <c r="R7" t="str">
        <f t="shared" si="2"/>
        <v>V2, 24°</v>
      </c>
    </row>
    <row r="10" spans="1:26">
      <c r="J10" t="str">
        <f>'Averaged Data'!J10</f>
        <v>Measured</v>
      </c>
      <c r="K10" t="str">
        <f>'Averaged Data'!K10</f>
        <v>Measured</v>
      </c>
      <c r="L10" t="str">
        <f>'Averaged Data'!L10</f>
        <v>Measured</v>
      </c>
      <c r="M10" t="str">
        <f>'Averaged Data'!M10</f>
        <v>Time</v>
      </c>
      <c r="N10" t="str">
        <f>'Averaged Data'!N10</f>
        <v>Comment</v>
      </c>
      <c r="O10" t="str">
        <f>'Averaged Data'!O10</f>
        <v>Calc</v>
      </c>
      <c r="P10" t="str">
        <f>'Averaged Data'!P10</f>
        <v>Calc</v>
      </c>
      <c r="Q10" t="str">
        <f>'Averaged Data'!Q10</f>
        <v>Calc</v>
      </c>
      <c r="R10" t="str">
        <f>'Averaged Data'!R10</f>
        <v>Calc</v>
      </c>
      <c r="V10" t="str">
        <f>'Averaged Data'!V10</f>
        <v>dynamic pressure</v>
      </c>
      <c r="W10" t="str">
        <f>'Averaged Data'!W10</f>
        <v>coefts</v>
      </c>
      <c r="X10" t="str">
        <f>'Averaged Data'!X10</f>
        <v>coefts</v>
      </c>
      <c r="Y10" t="str">
        <f>'Averaged Data'!Y10</f>
        <v>coefts</v>
      </c>
      <c r="Z10" t="str">
        <f>'Averaged Data'!Z10</f>
        <v>coefts</v>
      </c>
    </row>
    <row r="11" spans="1:26">
      <c r="W11" t="str">
        <f>'Averaged Data'!W11</f>
        <v>Coefficients</v>
      </c>
    </row>
    <row r="12" spans="1:26">
      <c r="A12" t="str">
        <f>'Averaged Data'!A12</f>
        <v>Day</v>
      </c>
      <c r="B12" t="str">
        <f>'Averaged Data'!B12</f>
        <v>Model</v>
      </c>
      <c r="C12" t="str">
        <f>'Averaged Data'!C12</f>
        <v>Test</v>
      </c>
      <c r="D12" t="str">
        <f>'Averaged Data'!D12</f>
        <v>Yaw</v>
      </c>
      <c r="E12" t="str">
        <f>'Averaged Data'!E12</f>
        <v>Speed</v>
      </c>
      <c r="J12" t="str">
        <f>'Averaged Data'!J12</f>
        <v>Heave</v>
      </c>
      <c r="K12" t="str">
        <f>'Averaged Data'!K12</f>
        <v>Pitch</v>
      </c>
      <c r="L12" t="str">
        <f>'Averaged Data'!L12</f>
        <v>Velocity</v>
      </c>
      <c r="O12" t="str">
        <f>'Averaged Data'!O12</f>
        <v>Total Drag</v>
      </c>
      <c r="P12" t="str">
        <f>'Averaged Data'!P12</f>
        <v>Total Lift</v>
      </c>
      <c r="Q12" t="str">
        <f>'Averaged Data'!Q12</f>
        <v>Resistance</v>
      </c>
      <c r="R12" t="str">
        <f>'Averaged Data'!R12</f>
        <v>Sideforce</v>
      </c>
      <c r="V12" t="str">
        <f>'Averaged Data'!V12</f>
        <v>q [N/m2]</v>
      </c>
      <c r="W12" t="str">
        <f>'Averaged Data'!W12</f>
        <v>CD</v>
      </c>
      <c r="X12" t="str">
        <f>'Averaged Data'!X12</f>
        <v>CL</v>
      </c>
      <c r="Y12" t="str">
        <f>'Averaged Data'!Y12</f>
        <v>CR</v>
      </c>
      <c r="Z12" t="str">
        <f>'Averaged Data'!Z12</f>
        <v>CS</v>
      </c>
    </row>
    <row r="13" spans="1:26">
      <c r="A13">
        <f>'Averaged Data'!A13</f>
        <v>0</v>
      </c>
      <c r="B13" t="str">
        <f>'Averaged Data'!B13</f>
        <v>shape</v>
      </c>
      <c r="C13" t="str">
        <f>'Averaged Data'!C13</f>
        <v>number</v>
      </c>
      <c r="D13" t="str">
        <f>'Averaged Data'!D13</f>
        <v>deg</v>
      </c>
      <c r="E13" t="str">
        <f>'Averaged Data'!E13</f>
        <v>m/s</v>
      </c>
      <c r="J13" t="str">
        <f>'Averaged Data'!J13</f>
        <v>mm</v>
      </c>
      <c r="K13" t="str">
        <f>'Averaged Data'!K13</f>
        <v>deg</v>
      </c>
      <c r="L13" t="str">
        <f>'Averaged Data'!L13</f>
        <v>m/s</v>
      </c>
      <c r="O13" t="str">
        <f>'Averaged Data'!O13</f>
        <v>N</v>
      </c>
      <c r="P13" t="str">
        <f>'Averaged Data'!P13</f>
        <v>N</v>
      </c>
      <c r="Q13" t="str">
        <f>'Averaged Data'!Q13</f>
        <v>N</v>
      </c>
      <c r="R13" t="str">
        <f>'Averaged Data'!R13</f>
        <v>N</v>
      </c>
    </row>
    <row r="15" spans="1:26">
      <c r="A15" s="6" t="str">
        <f>'Averaged Data'!A17</f>
        <v>D1</v>
      </c>
      <c r="B15" s="7" t="str">
        <f>'Averaged Data'!B17</f>
        <v>V1</v>
      </c>
      <c r="C15" s="7">
        <f>'Averaged Data'!C17</f>
        <v>2</v>
      </c>
      <c r="D15" s="7">
        <f>'Averaged Data'!D17</f>
        <v>0</v>
      </c>
      <c r="E15" s="7">
        <f>'Averaged Data'!E17</f>
        <v>0.4</v>
      </c>
      <c r="F15" s="7"/>
      <c r="G15" s="7"/>
      <c r="H15" s="7"/>
      <c r="I15" s="7"/>
      <c r="J15" s="7">
        <f>'Averaged Data'!J17</f>
        <v>29.737275449999999</v>
      </c>
      <c r="K15" s="7">
        <f>'Averaged Data'!K17</f>
        <v>2.5435509289999998</v>
      </c>
      <c r="L15" s="7">
        <f>'Averaged Data'!L17</f>
        <v>0.399157333</v>
      </c>
      <c r="M15" s="7">
        <f>'Averaged Data'!M17</f>
        <v>0</v>
      </c>
      <c r="N15" s="7">
        <f>'Averaged Data'!N17</f>
        <v>0</v>
      </c>
      <c r="O15" s="7">
        <f>'Averaged Data'!O17</f>
        <v>8.2277369999999989E-3</v>
      </c>
      <c r="P15" s="7">
        <f>'Averaged Data'!P17</f>
        <v>5.1265825000000001E-2</v>
      </c>
      <c r="Q15" s="7">
        <f>'Averaged Data'!Q17</f>
        <v>8.2277369999999989E-3</v>
      </c>
      <c r="R15" s="7">
        <f>'Averaged Data'!R17</f>
        <v>5.1265825000000001E-2</v>
      </c>
      <c r="S15" s="7"/>
      <c r="T15" s="7"/>
      <c r="U15" s="7"/>
      <c r="V15" s="7">
        <f>'Averaged Data'!V17</f>
        <v>79.663288243836448</v>
      </c>
      <c r="W15" s="7">
        <f>'Averaged Data'!W17</f>
        <v>2.1164224042161798E-3</v>
      </c>
      <c r="X15" s="7">
        <f>'Averaged Data'!X17</f>
        <v>1.3187118231978726E-2</v>
      </c>
      <c r="Y15" s="7">
        <f>'Averaged Data'!Y17</f>
        <v>2.1164224042161798E-3</v>
      </c>
      <c r="Z15" s="8">
        <f>'Averaged Data'!Z17</f>
        <v>1.3187118231978726E-2</v>
      </c>
    </row>
    <row r="16" spans="1:26">
      <c r="A16" s="9" t="str">
        <f>'Averaged Data'!A18</f>
        <v>D1</v>
      </c>
      <c r="B16" t="str">
        <f>'Averaged Data'!B18</f>
        <v>V1</v>
      </c>
      <c r="C16">
        <f>'Averaged Data'!C18</f>
        <v>3</v>
      </c>
      <c r="D16">
        <f>'Averaged Data'!D18</f>
        <v>0</v>
      </c>
      <c r="E16">
        <f>'Averaged Data'!E18</f>
        <v>0.4</v>
      </c>
      <c r="J16">
        <f>'Averaged Data'!J18</f>
        <v>29.737275459999999</v>
      </c>
      <c r="K16">
        <f>'Averaged Data'!K18</f>
        <v>2.544421899</v>
      </c>
      <c r="L16">
        <f>'Averaged Data'!L18</f>
        <v>0.399166519</v>
      </c>
      <c r="M16">
        <f>'Averaged Data'!M18</f>
        <v>11.04</v>
      </c>
      <c r="N16" t="str">
        <f>'Averaged Data'!N18</f>
        <v>good run</v>
      </c>
      <c r="O16">
        <f>'Averaged Data'!O18</f>
        <v>9.9304519999999993E-2</v>
      </c>
      <c r="P16">
        <f>'Averaged Data'!P18</f>
        <v>-2.7159804000000003E-2</v>
      </c>
      <c r="Q16">
        <f>'Averaged Data'!Q18</f>
        <v>9.9304519999999993E-2</v>
      </c>
      <c r="R16">
        <f>'Averaged Data'!R18</f>
        <v>-2.7159804000000003E-2</v>
      </c>
      <c r="V16">
        <f>'Averaged Data'!V18</f>
        <v>79.66695494528868</v>
      </c>
      <c r="W16">
        <f>'Averaged Data'!W18</f>
        <v>2.5542945502587341E-2</v>
      </c>
      <c r="X16">
        <f>'Averaged Data'!X18</f>
        <v>-6.9860001683000311E-3</v>
      </c>
      <c r="Y16">
        <f>'Averaged Data'!Y18</f>
        <v>2.5542945502587341E-2</v>
      </c>
      <c r="Z16" s="10">
        <f>'Averaged Data'!Z18</f>
        <v>-6.9860001683000311E-3</v>
      </c>
    </row>
    <row r="17" spans="1:26">
      <c r="A17" s="9" t="str">
        <f>'Averaged Data'!A19</f>
        <v>D1</v>
      </c>
      <c r="B17" t="str">
        <f>'Averaged Data'!B19</f>
        <v>V1</v>
      </c>
      <c r="C17">
        <f>'Averaged Data'!C19</f>
        <v>4</v>
      </c>
      <c r="D17">
        <f>'Averaged Data'!D19</f>
        <v>0</v>
      </c>
      <c r="E17">
        <f>'Averaged Data'!E19</f>
        <v>0.8</v>
      </c>
      <c r="J17">
        <f>'Averaged Data'!J19</f>
        <v>29.727556939999999</v>
      </c>
      <c r="K17">
        <f>'Averaged Data'!K19</f>
        <v>2.5452928610000001</v>
      </c>
      <c r="L17">
        <f>'Averaged Data'!L19</f>
        <v>0.80495266099999996</v>
      </c>
      <c r="M17">
        <f>'Averaged Data'!M19</f>
        <v>11.27</v>
      </c>
      <c r="N17">
        <f>'Averaged Data'!N19</f>
        <v>0</v>
      </c>
      <c r="O17">
        <f>'Averaged Data'!O19</f>
        <v>0.51653595299999999</v>
      </c>
      <c r="P17">
        <f>'Averaged Data'!P19</f>
        <v>-3.4391373000000003E-2</v>
      </c>
      <c r="Q17">
        <f>'Averaged Data'!Q19</f>
        <v>0.51653595299999999</v>
      </c>
      <c r="R17">
        <f>'Averaged Data'!R19</f>
        <v>-3.4391373000000003E-2</v>
      </c>
      <c r="V17">
        <f>'Averaged Data'!V19</f>
        <v>323.97439322549042</v>
      </c>
      <c r="W17">
        <f>'Averaged Data'!W19</f>
        <v>3.2671573298939015E-2</v>
      </c>
      <c r="X17">
        <f>'Averaged Data'!X19</f>
        <v>-2.1752992357932772E-3</v>
      </c>
      <c r="Y17">
        <f>'Averaged Data'!Y19</f>
        <v>3.2671573298939015E-2</v>
      </c>
      <c r="Z17" s="10">
        <f>'Averaged Data'!Z19</f>
        <v>-2.1752992357932772E-3</v>
      </c>
    </row>
    <row r="18" spans="1:26">
      <c r="A18" s="9" t="str">
        <f>'Averaged Data'!A20</f>
        <v>D1</v>
      </c>
      <c r="B18" t="str">
        <f>'Averaged Data'!B20</f>
        <v>V1</v>
      </c>
      <c r="C18">
        <f>'Averaged Data'!C20</f>
        <v>5</v>
      </c>
      <c r="D18">
        <f>'Averaged Data'!D20</f>
        <v>0</v>
      </c>
      <c r="E18">
        <f>'Averaged Data'!E20</f>
        <v>1.2</v>
      </c>
      <c r="J18">
        <f>'Averaged Data'!J20</f>
        <v>29.725532250000001</v>
      </c>
      <c r="K18">
        <f>'Averaged Data'!K20</f>
        <v>2.544247704</v>
      </c>
      <c r="L18">
        <f>'Averaged Data'!L20</f>
        <v>1.1953707760000001</v>
      </c>
      <c r="M18">
        <f>'Averaged Data'!M20</f>
        <v>11.5</v>
      </c>
      <c r="N18" t="str">
        <f>'Averaged Data'!N20</f>
        <v>Originally didn't change file name before run. Recovered</v>
      </c>
      <c r="O18">
        <f>'Averaged Data'!O20</f>
        <v>1.6150736499999998</v>
      </c>
      <c r="P18">
        <f>'Averaged Data'!P20</f>
        <v>-0.18980650200000002</v>
      </c>
      <c r="Q18">
        <f>'Averaged Data'!Q20</f>
        <v>1.6150736499999998</v>
      </c>
      <c r="R18">
        <f>'Averaged Data'!R20</f>
        <v>-0.18980650200000002</v>
      </c>
      <c r="V18">
        <f>'Averaged Data'!V20</f>
        <v>714.45564605742118</v>
      </c>
      <c r="W18">
        <f>'Averaged Data'!W20</f>
        <v>4.6323059659512451E-2</v>
      </c>
      <c r="X18">
        <f>'Averaged Data'!X20</f>
        <v>-5.4439733543478787E-3</v>
      </c>
      <c r="Y18">
        <f>'Averaged Data'!Y20</f>
        <v>4.6323059659512451E-2</v>
      </c>
      <c r="Z18" s="10">
        <f>'Averaged Data'!Z20</f>
        <v>-5.4439733543478787E-3</v>
      </c>
    </row>
    <row r="19" spans="1:26">
      <c r="A19" s="11" t="str">
        <f>'Averaged Data'!A22</f>
        <v>D1</v>
      </c>
      <c r="B19" s="12" t="str">
        <f>'Averaged Data'!B22</f>
        <v>V1</v>
      </c>
      <c r="C19" s="12">
        <f>'Averaged Data'!C22</f>
        <v>6</v>
      </c>
      <c r="D19" s="12">
        <f>'Averaged Data'!D22</f>
        <v>0</v>
      </c>
      <c r="E19" s="12">
        <f>'Averaged Data'!E22</f>
        <v>1.6</v>
      </c>
      <c r="F19" s="12"/>
      <c r="G19" s="12"/>
      <c r="H19" s="12"/>
      <c r="I19" s="12"/>
      <c r="J19" s="12">
        <f>'Averaged Data'!J22</f>
        <v>29.712470790000001</v>
      </c>
      <c r="K19" s="12">
        <f>'Averaged Data'!K22</f>
        <v>2.543700206</v>
      </c>
      <c r="L19" s="12">
        <f>'Averaged Data'!L22</f>
        <v>1.6056720010000001</v>
      </c>
      <c r="M19" s="12" t="str">
        <f>'Averaged Data'!M22</f>
        <v>~14.35</v>
      </c>
      <c r="N19" s="12" t="str">
        <f>'Averaged Data'!N22</f>
        <v>re-run of test 6 to confirm bow over the top. From now on only test to 1.2m/s.This test done after test 10</v>
      </c>
      <c r="O19" s="12">
        <f>'Averaged Data'!O22</f>
        <v>2.4866430589999999</v>
      </c>
      <c r="P19" s="12">
        <f>'Averaged Data'!P22</f>
        <v>-0.33239351500000003</v>
      </c>
      <c r="Q19" s="12">
        <f>'Averaged Data'!Q22</f>
        <v>2.4866430589999999</v>
      </c>
      <c r="R19" s="12">
        <f>'Averaged Data'!R22</f>
        <v>-0.33239351500000003</v>
      </c>
      <c r="S19" s="12"/>
      <c r="T19" s="12"/>
      <c r="U19" s="12"/>
      <c r="V19" s="12">
        <f>'Averaged Data'!V22</f>
        <v>1289.0912873976722</v>
      </c>
      <c r="W19" s="12">
        <f>'Averaged Data'!W22</f>
        <v>3.9528465429481165E-2</v>
      </c>
      <c r="X19" s="12">
        <f>'Averaged Data'!X22</f>
        <v>-5.2838325625814038E-3</v>
      </c>
      <c r="Y19" s="12">
        <f>'Averaged Data'!Y22</f>
        <v>3.9528465429481165E-2</v>
      </c>
      <c r="Z19" s="13">
        <f>'Averaged Data'!Z22</f>
        <v>-5.2838325625814038E-3</v>
      </c>
    </row>
    <row r="20" spans="1:26">
      <c r="A20" s="9" t="str">
        <f>'Averaged Data'!A24</f>
        <v>D1</v>
      </c>
      <c r="B20" t="str">
        <f>'Averaged Data'!B24</f>
        <v>V1</v>
      </c>
      <c r="C20">
        <f>'Averaged Data'!C24</f>
        <v>8</v>
      </c>
      <c r="D20">
        <f>'Averaged Data'!D24</f>
        <v>4</v>
      </c>
      <c r="E20">
        <f>'Averaged Data'!E24</f>
        <v>0.4</v>
      </c>
      <c r="J20">
        <f>'Averaged Data'!J24</f>
        <v>29.715489779999999</v>
      </c>
      <c r="K20">
        <f>'Averaged Data'!K24</f>
        <v>2.54233157</v>
      </c>
      <c r="L20">
        <f>'Averaged Data'!L24</f>
        <v>0.40036896100000002</v>
      </c>
      <c r="M20">
        <f>'Averaged Data'!M24</f>
        <v>13.25</v>
      </c>
      <c r="N20">
        <f>'Averaged Data'!N24</f>
        <v>0</v>
      </c>
      <c r="O20">
        <f>'Averaged Data'!O24</f>
        <v>5.9672465000000001E-2</v>
      </c>
      <c r="P20">
        <f>'Averaged Data'!P24</f>
        <v>3.5489809999999997E-2</v>
      </c>
      <c r="Q20">
        <f>'Averaged Data'!Q24</f>
        <v>5.7051461874938605E-2</v>
      </c>
      <c r="R20">
        <f>'Averaged Data'!R24</f>
        <v>3.9565899344571345E-2</v>
      </c>
      <c r="V20">
        <f>'Averaged Data'!V24</f>
        <v>80.147652466109776</v>
      </c>
      <c r="W20">
        <f>'Averaged Data'!W24</f>
        <v>1.5256796379051557E-2</v>
      </c>
      <c r="X20">
        <f>'Averaged Data'!X24</f>
        <v>9.0738803014292716E-3</v>
      </c>
      <c r="Y20">
        <f>'Averaged Data'!Y24</f>
        <v>1.4586669696872105E-2</v>
      </c>
      <c r="Z20" s="10">
        <f>'Averaged Data'!Z24</f>
        <v>1.0116037101101396E-2</v>
      </c>
    </row>
    <row r="21" spans="1:26">
      <c r="A21" s="9" t="str">
        <f>'Averaged Data'!A25</f>
        <v>D1</v>
      </c>
      <c r="B21" t="str">
        <f>'Averaged Data'!B25</f>
        <v>V1</v>
      </c>
      <c r="C21">
        <f>'Averaged Data'!C25</f>
        <v>9</v>
      </c>
      <c r="D21">
        <f>'Averaged Data'!D25</f>
        <v>4</v>
      </c>
      <c r="E21">
        <f>'Averaged Data'!E25</f>
        <v>0.8</v>
      </c>
      <c r="J21">
        <f>'Averaged Data'!J25</f>
        <v>29.712574230000001</v>
      </c>
      <c r="K21">
        <f>'Averaged Data'!K25</f>
        <v>2.5452928620000002</v>
      </c>
      <c r="L21">
        <f>'Averaged Data'!L25</f>
        <v>0.80652782099999998</v>
      </c>
      <c r="M21">
        <f>'Averaged Data'!M25</f>
        <v>13.4</v>
      </c>
      <c r="N21">
        <f>'Averaged Data'!N25</f>
        <v>0</v>
      </c>
      <c r="O21">
        <f>'Averaged Data'!O25</f>
        <v>0.54670943900000002</v>
      </c>
      <c r="P21">
        <f>'Averaged Data'!P25</f>
        <v>5.7243871000000002E-2</v>
      </c>
      <c r="Q21">
        <f>'Averaged Data'!Q25</f>
        <v>0.54138455169969268</v>
      </c>
      <c r="R21">
        <f>'Averaged Data'!R25</f>
        <v>9.5240950434579863E-2</v>
      </c>
      <c r="V21">
        <f>'Averaged Data'!V25</f>
        <v>325.24356302350401</v>
      </c>
      <c r="W21">
        <f>'Averaged Data'!W25</f>
        <v>3.4445146801508147E-2</v>
      </c>
      <c r="X21">
        <f>'Averaged Data'!X25</f>
        <v>3.6066206277473745E-3</v>
      </c>
      <c r="Y21">
        <f>'Averaged Data'!Y25</f>
        <v>3.4109655017982216E-2</v>
      </c>
      <c r="Z21" s="10">
        <f>'Averaged Data'!Z25</f>
        <v>6.0006070596382455E-3</v>
      </c>
    </row>
    <row r="22" spans="1:26">
      <c r="A22" s="9" t="str">
        <f>'Averaged Data'!A27</f>
        <v>D1</v>
      </c>
      <c r="B22" t="str">
        <f>'Averaged Data'!B27</f>
        <v>V1</v>
      </c>
      <c r="C22">
        <f>'Averaged Data'!C27</f>
        <v>11</v>
      </c>
      <c r="D22">
        <f>'Averaged Data'!D27</f>
        <v>4</v>
      </c>
      <c r="E22">
        <f>'Averaged Data'!E27</f>
        <v>1.2</v>
      </c>
      <c r="J22">
        <f>'Averaged Data'!J27</f>
        <v>29.710549539999999</v>
      </c>
      <c r="K22">
        <f>'Averaged Data'!K27</f>
        <v>2.544073504</v>
      </c>
      <c r="L22">
        <f>'Averaged Data'!L27</f>
        <v>1.1985547809999999</v>
      </c>
      <c r="M22">
        <f>'Averaged Data'!M27</f>
        <v>15.14</v>
      </c>
      <c r="N22" t="str">
        <f>'Averaged Data'!N27</f>
        <v>After set to 8deg</v>
      </c>
      <c r="O22">
        <f>'Averaged Data'!O27</f>
        <v>1.737280025</v>
      </c>
      <c r="P22">
        <f>'Averaged Data'!P27</f>
        <v>0.24324865299999993</v>
      </c>
      <c r="Q22">
        <f>'Averaged Data'!Q27</f>
        <v>1.7160799298982004</v>
      </c>
      <c r="R22">
        <f>'Averaged Data'!R27</f>
        <v>0.36384263995703231</v>
      </c>
      <c r="V22">
        <f>'Averaged Data'!V27</f>
        <v>718.26678152897887</v>
      </c>
      <c r="W22">
        <f>'Averaged Data'!W27</f>
        <v>4.9563757405727639E-2</v>
      </c>
      <c r="X22">
        <f>'Averaged Data'!X27</f>
        <v>6.9397662167686629E-3</v>
      </c>
      <c r="Y22">
        <f>'Averaged Data'!Y27</f>
        <v>4.8958928963862627E-2</v>
      </c>
      <c r="Z22" s="10">
        <f>'Averaged Data'!Z27</f>
        <v>1.038025423718888E-2</v>
      </c>
    </row>
    <row r="23" spans="1:26">
      <c r="A23" s="11" t="str">
        <f>'Averaged Data'!A26</f>
        <v>D1</v>
      </c>
      <c r="B23" s="12" t="str">
        <f>'Averaged Data'!B26</f>
        <v>V1</v>
      </c>
      <c r="C23" s="12">
        <f>'Averaged Data'!C26</f>
        <v>10</v>
      </c>
      <c r="D23" s="12">
        <f>'Averaged Data'!D26</f>
        <v>4</v>
      </c>
      <c r="E23" s="12">
        <f>'Averaged Data'!E26</f>
        <v>1.6</v>
      </c>
      <c r="F23" s="12"/>
      <c r="G23" s="12"/>
      <c r="H23" s="12"/>
      <c r="I23" s="12"/>
      <c r="J23" s="12">
        <f>'Averaged Data'!J26</f>
        <v>29.717891980000001</v>
      </c>
      <c r="K23" s="12">
        <f>'Averaged Data'!K26</f>
        <v>2.5447602260000002</v>
      </c>
      <c r="L23" s="12">
        <f>'Averaged Data'!L26</f>
        <v>1.605772797</v>
      </c>
      <c r="M23" s="12">
        <f>'Averaged Data'!M26</f>
        <v>14.02</v>
      </c>
      <c r="N23" s="12" t="str">
        <f>'Averaged Data'!N26</f>
        <v>large (or nice) wake pattern</v>
      </c>
      <c r="O23" s="12">
        <f>'Averaged Data'!O26</f>
        <v>2.673215506</v>
      </c>
      <c r="P23" s="12">
        <f>'Averaged Data'!P26</f>
        <v>0.70147218500000008</v>
      </c>
      <c r="Q23" s="12">
        <f>'Averaged Data'!Q26</f>
        <v>2.6177714613275387</v>
      </c>
      <c r="R23" s="12">
        <f>'Averaged Data'!R26</f>
        <v>0.88623752126988631</v>
      </c>
      <c r="S23" s="12"/>
      <c r="T23" s="12"/>
      <c r="U23" s="12"/>
      <c r="V23" s="12">
        <f>'Averaged Data'!V26</f>
        <v>1289.2531377926016</v>
      </c>
      <c r="W23" s="12">
        <f>'Averaged Data'!W26</f>
        <v>4.248894547139271E-2</v>
      </c>
      <c r="X23" s="12">
        <f>'Averaged Data'!X26</f>
        <v>1.1149424111624055E-2</v>
      </c>
      <c r="Y23" s="12">
        <f>'Averaged Data'!Y26</f>
        <v>4.1607700025406702E-2</v>
      </c>
      <c r="Z23" s="13">
        <f>'Averaged Data'!Z26</f>
        <v>1.4086143684047011E-2</v>
      </c>
    </row>
    <row r="25" spans="1:26">
      <c r="A25" s="6" t="str">
        <f>'Averaged Data'!A28</f>
        <v>D1</v>
      </c>
      <c r="B25" s="7" t="str">
        <f>'Averaged Data'!B28</f>
        <v>V1</v>
      </c>
      <c r="C25" s="7">
        <f>'Averaged Data'!C28</f>
        <v>12</v>
      </c>
      <c r="D25" s="7">
        <f>'Averaged Data'!D28</f>
        <v>8</v>
      </c>
      <c r="E25" s="7">
        <f>'Averaged Data'!E28</f>
        <v>0.4</v>
      </c>
      <c r="F25" s="7"/>
      <c r="G25" s="7"/>
      <c r="H25" s="7"/>
      <c r="I25" s="7"/>
      <c r="J25" s="7">
        <f>'Averaged Data'!J28</f>
        <v>29.711926330000001</v>
      </c>
      <c r="K25" s="7">
        <f>'Averaged Data'!K28</f>
        <v>2.5410251160000001</v>
      </c>
      <c r="L25" s="7">
        <f>'Averaged Data'!L28</f>
        <v>0.39705455299999998</v>
      </c>
      <c r="M25" s="7">
        <f>'Averaged Data'!M28</f>
        <v>15.4</v>
      </c>
      <c r="N25" s="7">
        <f>'Averaged Data'!N28</f>
        <v>0</v>
      </c>
      <c r="O25" s="7">
        <f>'Averaged Data'!O28</f>
        <v>0.221632302</v>
      </c>
      <c r="P25" s="7">
        <f>'Averaged Data'!P28</f>
        <v>4.3571464000000011E-2</v>
      </c>
      <c r="Q25" s="7">
        <f>'Averaged Data'!Q28</f>
        <v>0.21341141591403864</v>
      </c>
      <c r="R25" s="7">
        <f>'Averaged Data'!R28</f>
        <v>7.3992684249780588E-2</v>
      </c>
      <c r="S25" s="7"/>
      <c r="T25" s="7"/>
      <c r="U25" s="7"/>
      <c r="V25" s="7">
        <f>'Averaged Data'!V28</f>
        <v>78.826159029014889</v>
      </c>
      <c r="W25" s="7">
        <f>'Averaged Data'!W28</f>
        <v>5.7615968971863316E-2</v>
      </c>
      <c r="X25" s="7">
        <f>'Averaged Data'!X28</f>
        <v>1.1326923445855199E-2</v>
      </c>
      <c r="Y25" s="7">
        <f>'Averaged Data'!Y28</f>
        <v>5.5478851262144392E-2</v>
      </c>
      <c r="Z25" s="8">
        <f>'Averaged Data'!Z28</f>
        <v>1.9235283672143774E-2</v>
      </c>
    </row>
    <row r="26" spans="1:26">
      <c r="A26" s="9" t="str">
        <f>'Averaged Data'!A29</f>
        <v>D1</v>
      </c>
      <c r="B26" t="str">
        <f>'Averaged Data'!B29</f>
        <v>V1</v>
      </c>
      <c r="C26">
        <f>'Averaged Data'!C29</f>
        <v>13</v>
      </c>
      <c r="D26">
        <f>'Averaged Data'!D29</f>
        <v>8</v>
      </c>
      <c r="E26">
        <f>'Averaged Data'!E29</f>
        <v>0.8</v>
      </c>
      <c r="J26">
        <f>'Averaged Data'!J29</f>
        <v>29.7107925</v>
      </c>
      <c r="K26">
        <f>'Averaged Data'!K29</f>
        <v>2.5373670420000001</v>
      </c>
      <c r="L26">
        <f>'Averaged Data'!L29</f>
        <v>0.80848332000000001</v>
      </c>
      <c r="M26">
        <f>'Averaged Data'!M29</f>
        <v>15.53</v>
      </c>
      <c r="N26" t="str">
        <f>'Averaged Data'!N29</f>
        <v>photographed</v>
      </c>
      <c r="O26">
        <f>'Averaged Data'!O29</f>
        <v>0.60233237300000009</v>
      </c>
      <c r="P26">
        <f>'Averaged Data'!P29</f>
        <v>0.21815929199999995</v>
      </c>
      <c r="Q26">
        <f>'Averaged Data'!Q29</f>
        <v>0.5661086105803449</v>
      </c>
      <c r="R26">
        <f>'Averaged Data'!R29</f>
        <v>0.29986464492591308</v>
      </c>
      <c r="V26">
        <f>'Averaged Data'!V29</f>
        <v>326.82263935911124</v>
      </c>
      <c r="W26">
        <f>'Averaged Data'!W29</f>
        <v>3.7766283633550071E-2</v>
      </c>
      <c r="X26">
        <f>'Averaged Data'!X29</f>
        <v>1.3678603489184316E-2</v>
      </c>
      <c r="Y26">
        <f>'Averaged Data'!Y29</f>
        <v>3.5495051092949058E-2</v>
      </c>
      <c r="Z26" s="10">
        <f>'Averaged Data'!Z29</f>
        <v>1.8801535065334791E-2</v>
      </c>
    </row>
    <row r="27" spans="1:26">
      <c r="A27" s="9" t="str">
        <f>'Averaged Data'!A30</f>
        <v>D1</v>
      </c>
      <c r="B27" t="str">
        <f>'Averaged Data'!B30</f>
        <v>V1</v>
      </c>
      <c r="C27">
        <f>'Averaged Data'!C30</f>
        <v>14</v>
      </c>
      <c r="D27">
        <f>'Averaged Data'!D30</f>
        <v>8</v>
      </c>
      <c r="E27">
        <f>'Averaged Data'!E30</f>
        <v>1.2</v>
      </c>
      <c r="J27">
        <f>'Averaged Data'!J30</f>
        <v>29.711440410000002</v>
      </c>
      <c r="K27">
        <f>'Averaged Data'!K30</f>
        <v>2.542070281</v>
      </c>
      <c r="L27">
        <f>'Averaged Data'!L30</f>
        <v>1.1940425610000001</v>
      </c>
      <c r="M27">
        <f>'Averaged Data'!M30</f>
        <v>14.29</v>
      </c>
      <c r="N27" t="str">
        <f>'Averaged Data'!N30</f>
        <v>photo again. Strange time. Probably 16.29</v>
      </c>
      <c r="O27">
        <f>'Averaged Data'!O30</f>
        <v>1.8254384689999998</v>
      </c>
      <c r="P27">
        <f>'Averaged Data'!P30</f>
        <v>0.97098647100000002</v>
      </c>
      <c r="Q27">
        <f>'Averaged Data'!Q30</f>
        <v>1.6725382291438582</v>
      </c>
      <c r="R27">
        <f>'Averaged Data'!R30</f>
        <v>1.215588829753887</v>
      </c>
      <c r="V27">
        <f>'Averaged Data'!V30</f>
        <v>712.86881873971936</v>
      </c>
      <c r="W27">
        <f>'Averaged Data'!W30</f>
        <v>5.2473225116269423E-2</v>
      </c>
      <c r="X27">
        <f>'Averaged Data'!X30</f>
        <v>2.7911536073602389E-2</v>
      </c>
      <c r="Y27">
        <f>'Averaged Data'!Y30</f>
        <v>4.8078024268607814E-2</v>
      </c>
      <c r="Z27" s="10">
        <f>'Averaged Data'!Z30</f>
        <v>3.4942764380023715E-2</v>
      </c>
    </row>
    <row r="28" spans="1:26">
      <c r="A28" s="11" t="str">
        <f>'Averaged Data'!A31</f>
        <v>D2</v>
      </c>
      <c r="B28" s="12" t="str">
        <f>'Averaged Data'!B31</f>
        <v>V1</v>
      </c>
      <c r="C28" s="12">
        <f>'Averaged Data'!C31</f>
        <v>1</v>
      </c>
      <c r="D28" s="12">
        <f>'Averaged Data'!D31</f>
        <v>8</v>
      </c>
      <c r="E28" s="12">
        <f>'Averaged Data'!E31</f>
        <v>1.2</v>
      </c>
      <c r="F28" s="12"/>
      <c r="G28" s="12"/>
      <c r="H28" s="12"/>
      <c r="I28" s="12"/>
      <c r="J28" s="12">
        <f>'Averaged Data'!J31</f>
        <v>29.722713880000001</v>
      </c>
      <c r="K28" s="12">
        <f>'Averaged Data'!K31</f>
        <v>2.528618373</v>
      </c>
      <c r="L28" s="12">
        <f>'Averaged Data'!L31</f>
        <v>1.1942638269999999</v>
      </c>
      <c r="M28" s="12">
        <f>'Averaged Data'!M31</f>
        <v>0</v>
      </c>
      <c r="N28" s="12" t="str">
        <f>'Averaged Data'!N31</f>
        <v>Ian skimmed tank before tests. Previous test with model rotated bow to port, following tests with bow rotated to starboard.  Data recorded for only 5 sec, not 10 sec. After set to 16 degs</v>
      </c>
      <c r="O28" s="12">
        <f>'Averaged Data'!O31</f>
        <v>1.3806132279999999</v>
      </c>
      <c r="P28" s="12">
        <f>'Averaged Data'!P31</f>
        <v>0.83014633100000002</v>
      </c>
      <c r="Q28" s="12">
        <f>'Averaged Data'!Q31</f>
        <v>1.2516431558347343</v>
      </c>
      <c r="R28" s="12">
        <f>'Averaged Data'!R31</f>
        <v>1.0142116281395162</v>
      </c>
      <c r="S28" s="12"/>
      <c r="T28" s="12"/>
      <c r="U28" s="12"/>
      <c r="V28" s="12">
        <f>'Averaged Data'!V31</f>
        <v>713.13304424034288</v>
      </c>
      <c r="W28" s="12">
        <f>'Averaged Data'!W31</f>
        <v>3.967177639660225E-2</v>
      </c>
      <c r="X28" s="12">
        <f>'Averaged Data'!X31</f>
        <v>2.3854167808894673E-2</v>
      </c>
      <c r="Y28" s="12">
        <f>'Averaged Data'!Y31</f>
        <v>3.5965834891025082E-2</v>
      </c>
      <c r="Z28" s="13">
        <f>'Averaged Data'!Z31</f>
        <v>2.9143264829260926E-2</v>
      </c>
    </row>
    <row r="29" spans="1:26">
      <c r="A29" s="9"/>
      <c r="D29" s="14">
        <v>12</v>
      </c>
      <c r="E29" s="14">
        <v>-10</v>
      </c>
      <c r="F29" s="14"/>
      <c r="G29" s="14"/>
      <c r="H29" s="14"/>
      <c r="I29" s="14"/>
      <c r="J29" s="14"/>
      <c r="K29" s="14"/>
      <c r="L29" s="14">
        <v>-10</v>
      </c>
      <c r="M29" s="14"/>
      <c r="N29" s="14"/>
      <c r="O29" s="14">
        <v>0</v>
      </c>
      <c r="P29" s="14">
        <v>0</v>
      </c>
      <c r="Q29" s="14"/>
      <c r="R29" s="14"/>
      <c r="S29" s="14"/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</row>
    <row r="30" spans="1:26">
      <c r="A30" s="6" t="str">
        <f>'Averaged Data'!A32</f>
        <v>D2</v>
      </c>
      <c r="B30" s="7" t="str">
        <f>'Averaged Data'!B32</f>
        <v>V1</v>
      </c>
      <c r="C30" s="7">
        <f>'Averaged Data'!C32</f>
        <v>2</v>
      </c>
      <c r="D30" s="7">
        <f>'Averaged Data'!D32</f>
        <v>16</v>
      </c>
      <c r="E30" s="7">
        <f>'Averaged Data'!E32</f>
        <v>0.4</v>
      </c>
      <c r="F30" s="7"/>
      <c r="G30" s="7"/>
      <c r="H30" s="7"/>
      <c r="I30" s="7"/>
      <c r="J30" s="7">
        <f>'Averaged Data'!J32</f>
        <v>29.721965709999999</v>
      </c>
      <c r="K30" s="7">
        <f>'Averaged Data'!K32</f>
        <v>2.5239516480000002</v>
      </c>
      <c r="L30" s="7">
        <f>'Averaged Data'!L32</f>
        <v>0.399162872</v>
      </c>
      <c r="M30" s="7">
        <f>'Averaged Data'!M32</f>
        <v>0</v>
      </c>
      <c r="N30" s="7" t="str">
        <f>'Averaged Data'!N32</f>
        <v>Data recorded for only 5 sec, not 10 sec. Video + photo</v>
      </c>
      <c r="O30" s="7">
        <f>'Averaged Data'!O32</f>
        <v>0.11927837500000001</v>
      </c>
      <c r="P30" s="7">
        <f>'Averaged Data'!P32</f>
        <v>0.29648214899999997</v>
      </c>
      <c r="Q30" s="7">
        <f>'Averaged Data'!Q32</f>
        <v>3.2936177443965223E-2</v>
      </c>
      <c r="R30" s="7">
        <f>'Averaged Data'!R32</f>
        <v>0.31787450925432581</v>
      </c>
      <c r="S30" s="7"/>
      <c r="T30" s="7"/>
      <c r="U30" s="7"/>
      <c r="V30" s="7">
        <f>'Averaged Data'!V32</f>
        <v>79.665499191644187</v>
      </c>
      <c r="W30" s="7">
        <f>'Averaged Data'!W32</f>
        <v>3.0681148310158401E-2</v>
      </c>
      <c r="X30" s="7">
        <f>'Averaged Data'!X32</f>
        <v>7.626204485753163E-2</v>
      </c>
      <c r="Y30" s="7">
        <f>'Averaged Data'!Y32</f>
        <v>8.471944264230551E-3</v>
      </c>
      <c r="Z30" s="8">
        <f>'Averaged Data'!Z32</f>
        <v>8.1764653169116269E-2</v>
      </c>
    </row>
    <row r="31" spans="1:26">
      <c r="A31" s="9" t="str">
        <f>'Averaged Data'!A33</f>
        <v>D2</v>
      </c>
      <c r="B31" t="str">
        <f>'Averaged Data'!B33</f>
        <v>V1</v>
      </c>
      <c r="C31">
        <f>'Averaged Data'!C33</f>
        <v>3</v>
      </c>
      <c r="D31">
        <f>'Averaged Data'!D33</f>
        <v>16</v>
      </c>
      <c r="E31">
        <f>'Averaged Data'!E33</f>
        <v>0.8</v>
      </c>
      <c r="J31">
        <f>'Averaged Data'!J33</f>
        <v>29.718081389999998</v>
      </c>
      <c r="K31">
        <f>'Averaged Data'!K33</f>
        <v>2.5276122019999998</v>
      </c>
      <c r="L31">
        <f>'Averaged Data'!L33</f>
        <v>0.808770145</v>
      </c>
      <c r="M31">
        <f>'Averaged Data'!M33</f>
        <v>10.35</v>
      </c>
      <c r="N31" t="str">
        <f>'Averaged Data'!N33</f>
        <v>Data recorded for 10 sec. Ran again to check recording was working properly. Seemed ok</v>
      </c>
      <c r="O31">
        <f>'Averaged Data'!O33</f>
        <v>0.48797140699999986</v>
      </c>
      <c r="P31">
        <f>'Averaged Data'!P33</f>
        <v>0.74368450399999997</v>
      </c>
      <c r="Q31">
        <f>'Averaged Data'!Q33</f>
        <v>0.26408099201759094</v>
      </c>
      <c r="R31">
        <f>'Averaged Data'!R33</f>
        <v>0.84937857589786803</v>
      </c>
      <c r="V31">
        <f>'Averaged Data'!V33</f>
        <v>327.05457372166052</v>
      </c>
      <c r="W31">
        <f>'Averaged Data'!W33</f>
        <v>3.0574145360764287E-2</v>
      </c>
      <c r="X31">
        <f>'Averaged Data'!X33</f>
        <v>4.6596005015195278E-2</v>
      </c>
      <c r="Y31">
        <f>'Averaged Data'!Y33</f>
        <v>1.6546155207328904E-2</v>
      </c>
      <c r="Z31" s="10">
        <f>'Averaged Data'!Z33</f>
        <v>5.3218331388462659E-2</v>
      </c>
    </row>
    <row r="32" spans="1:26">
      <c r="A32" s="11" t="str">
        <f>'Averaged Data'!A34</f>
        <v>D2</v>
      </c>
      <c r="B32" s="12" t="str">
        <f>'Averaged Data'!B34</f>
        <v>V1</v>
      </c>
      <c r="C32" s="12">
        <f>'Averaged Data'!C34</f>
        <v>4</v>
      </c>
      <c r="D32" s="12">
        <f>'Averaged Data'!D34</f>
        <v>16</v>
      </c>
      <c r="E32" s="12">
        <f>'Averaged Data'!E34</f>
        <v>1.2</v>
      </c>
      <c r="F32" s="12"/>
      <c r="G32" s="12"/>
      <c r="H32" s="12"/>
      <c r="I32" s="12"/>
      <c r="J32" s="12">
        <f>'Averaged Data'!J34</f>
        <v>29.717028549999998</v>
      </c>
      <c r="K32" s="12">
        <f>'Averaged Data'!K34</f>
        <v>2.528221877</v>
      </c>
      <c r="L32" s="12">
        <f>'Averaged Data'!L34</f>
        <v>1.1962005280000001</v>
      </c>
      <c r="M32" s="12">
        <f>'Averaged Data'!M34</f>
        <v>11.05</v>
      </c>
      <c r="N32" s="12">
        <f>'Averaged Data'!N34</f>
        <v>0</v>
      </c>
      <c r="O32" s="12">
        <f>'Averaged Data'!O34</f>
        <v>2.0054195400000001</v>
      </c>
      <c r="P32" s="12">
        <f>'Averaged Data'!P34</f>
        <v>2.0887670209999998</v>
      </c>
      <c r="Q32" s="12">
        <f>'Averaged Data'!Q34</f>
        <v>1.351990769502053</v>
      </c>
      <c r="R32" s="12">
        <f>'Averaged Data'!R34</f>
        <v>2.5606202683358328</v>
      </c>
      <c r="S32" s="12"/>
      <c r="T32" s="12"/>
      <c r="U32" s="12"/>
      <c r="V32" s="12">
        <f>'Averaged Data'!V34</f>
        <v>715.44785159373941</v>
      </c>
      <c r="W32" s="12">
        <f>'Averaged Data'!W34</f>
        <v>5.7439074858321421E-2</v>
      </c>
      <c r="X32" s="12">
        <f>'Averaged Data'!X34</f>
        <v>5.9826307108193436E-2</v>
      </c>
      <c r="Y32" s="12">
        <f>'Averaged Data'!Y34</f>
        <v>3.8723617411839918E-2</v>
      </c>
      <c r="Z32" s="13">
        <f>'Averaged Data'!Z34</f>
        <v>7.3341092147071116E-2</v>
      </c>
    </row>
    <row r="33" spans="1:26">
      <c r="A33" s="6" t="str">
        <f>'Averaged Data'!A35</f>
        <v>D2</v>
      </c>
      <c r="B33" s="7" t="str">
        <f>'Averaged Data'!B35</f>
        <v>V1</v>
      </c>
      <c r="C33" s="7">
        <f>'Averaged Data'!C35</f>
        <v>5</v>
      </c>
      <c r="D33" s="7">
        <f>'Averaged Data'!D35</f>
        <v>24</v>
      </c>
      <c r="E33" s="7">
        <f>'Averaged Data'!E35</f>
        <v>0.4</v>
      </c>
      <c r="F33" s="7"/>
      <c r="G33" s="7"/>
      <c r="H33" s="7"/>
      <c r="I33" s="7"/>
      <c r="J33" s="7">
        <f>'Averaged Data'!J35</f>
        <v>29.71451793</v>
      </c>
      <c r="K33" s="7">
        <f>'Averaged Data'!K35</f>
        <v>2.528396071</v>
      </c>
      <c r="L33" s="7">
        <f>'Averaged Data'!L35</f>
        <v>0.40077541500000002</v>
      </c>
      <c r="M33" s="7">
        <f>'Averaged Data'!M35</f>
        <v>11.36</v>
      </c>
      <c r="N33" s="7">
        <f>'Averaged Data'!N35</f>
        <v>0</v>
      </c>
      <c r="O33" s="7">
        <f>'Averaged Data'!O35</f>
        <v>0.306835264</v>
      </c>
      <c r="P33" s="7">
        <f>'Averaged Data'!P35</f>
        <v>0.56107661600000003</v>
      </c>
      <c r="Q33" s="7">
        <f>'Averaged Data'!Q35</f>
        <v>5.2097542371598415E-2</v>
      </c>
      <c r="R33" s="7">
        <f>'Averaged Data'!R35</f>
        <v>0.63737013919291874</v>
      </c>
      <c r="S33" s="7"/>
      <c r="T33" s="7"/>
      <c r="U33" s="7"/>
      <c r="V33" s="7">
        <f>'Averaged Data'!V35</f>
        <v>80.310466634211124</v>
      </c>
      <c r="W33" s="7">
        <f>'Averaged Data'!W35</f>
        <v>7.8291263049068457E-2</v>
      </c>
      <c r="X33" s="7">
        <f>'Averaged Data'!X35</f>
        <v>0.14316280456583105</v>
      </c>
      <c r="Y33" s="7">
        <f>'Averaged Data'!Y35</f>
        <v>1.3293069189155524E-2</v>
      </c>
      <c r="Z33" s="8">
        <f>'Averaged Data'!Z35</f>
        <v>0.16262965532923288</v>
      </c>
    </row>
    <row r="34" spans="1:26">
      <c r="A34" s="9" t="str">
        <f>'Averaged Data'!A36</f>
        <v>D2</v>
      </c>
      <c r="B34" t="str">
        <f>'Averaged Data'!B36</f>
        <v>V1</v>
      </c>
      <c r="C34">
        <f>'Averaged Data'!C36</f>
        <v>6</v>
      </c>
      <c r="D34">
        <f>'Averaged Data'!D36</f>
        <v>24</v>
      </c>
      <c r="E34">
        <f>'Averaged Data'!E36</f>
        <v>0.8</v>
      </c>
      <c r="J34">
        <f>'Averaged Data'!J36</f>
        <v>29.712007310000001</v>
      </c>
      <c r="K34">
        <f>'Averaged Data'!K36</f>
        <v>2.5250863940000001</v>
      </c>
      <c r="L34">
        <f>'Averaged Data'!L36</f>
        <v>0.80715357399999998</v>
      </c>
      <c r="M34">
        <f>'Averaged Data'!M36</f>
        <v>12.04</v>
      </c>
      <c r="N34">
        <f>'Averaged Data'!N36</f>
        <v>0</v>
      </c>
      <c r="O34">
        <f>'Averaged Data'!O36</f>
        <v>1.0403195900000002</v>
      </c>
      <c r="P34">
        <f>'Averaged Data'!P36</f>
        <v>1.2743562690000001</v>
      </c>
      <c r="Q34">
        <f>'Averaged Data'!Q36</f>
        <v>0.43205184500545157</v>
      </c>
      <c r="R34">
        <f>'Averaged Data'!R36</f>
        <v>1.5873184787259154</v>
      </c>
      <c r="V34">
        <f>'Averaged Data'!V36</f>
        <v>325.74844601048676</v>
      </c>
      <c r="W34">
        <f>'Averaged Data'!W36</f>
        <v>6.5443211307168042E-2</v>
      </c>
      <c r="X34">
        <f>'Averaged Data'!X36</f>
        <v>8.0165717722167726E-2</v>
      </c>
      <c r="Y34">
        <f>'Averaged Data'!Y36</f>
        <v>2.7179013507131568E-2</v>
      </c>
      <c r="Z34" s="10">
        <f>'Averaged Data'!Z36</f>
        <v>9.9853179362923053E-2</v>
      </c>
    </row>
    <row r="35" spans="1:26">
      <c r="A35" s="11" t="str">
        <f>'Averaged Data'!A37</f>
        <v>D2</v>
      </c>
      <c r="B35" s="12" t="str">
        <f>'Averaged Data'!B37</f>
        <v>V1</v>
      </c>
      <c r="C35" s="12">
        <f>'Averaged Data'!C37</f>
        <v>7</v>
      </c>
      <c r="D35" s="12">
        <f>'Averaged Data'!D37</f>
        <v>24</v>
      </c>
      <c r="E35" s="12">
        <f>'Averaged Data'!E37</f>
        <v>1.2</v>
      </c>
      <c r="F35" s="12"/>
      <c r="G35" s="12"/>
      <c r="H35" s="12"/>
      <c r="I35" s="12"/>
      <c r="J35" s="12">
        <f>'Averaged Data'!J37</f>
        <v>29.71516583</v>
      </c>
      <c r="K35" s="12">
        <f>'Averaged Data'!K37</f>
        <v>2.5304863960000001</v>
      </c>
      <c r="L35" s="12">
        <f>'Averaged Data'!L37</f>
        <v>1.196083969</v>
      </c>
      <c r="M35" s="12">
        <f>'Averaged Data'!M37</f>
        <v>12.3</v>
      </c>
      <c r="N35" s="12" t="str">
        <f>'Averaged Data'!N37</f>
        <v>waterline well below on leeward side.</v>
      </c>
      <c r="O35" s="12">
        <f>'Averaged Data'!O37</f>
        <v>2.8111068349999999</v>
      </c>
      <c r="P35" s="12">
        <f>'Averaged Data'!P37</f>
        <v>3.239525564</v>
      </c>
      <c r="Q35" s="12">
        <f>'Averaged Data'!Q37</f>
        <v>1.2504401270027199</v>
      </c>
      <c r="R35" s="12">
        <f>'Averaged Data'!R37</f>
        <v>4.1028340213046217</v>
      </c>
      <c r="S35" s="12"/>
      <c r="T35" s="12"/>
      <c r="U35" s="12"/>
      <c r="V35" s="12">
        <f>'Averaged Data'!V37</f>
        <v>715.3084304493965</v>
      </c>
      <c r="W35" s="12">
        <f>'Averaged Data'!W37</f>
        <v>8.0531202773615113E-2</v>
      </c>
      <c r="X35" s="12">
        <f>'Averaged Data'!X37</f>
        <v>9.2804331317701022E-2</v>
      </c>
      <c r="Y35" s="12">
        <f>'Averaged Data'!Y37</f>
        <v>3.5821992309275248E-2</v>
      </c>
      <c r="Z35" s="13">
        <f>'Averaged Data'!Z37</f>
        <v>0.11753596640384151</v>
      </c>
    </row>
    <row r="37" spans="1:26">
      <c r="A37" s="6" t="str">
        <f>'Averaged Data'!A39</f>
        <v>D2</v>
      </c>
      <c r="B37" s="7" t="str">
        <f>'Averaged Data'!B39</f>
        <v>V2</v>
      </c>
      <c r="C37" s="7">
        <f>'Averaged Data'!C39</f>
        <v>1</v>
      </c>
      <c r="D37" s="7">
        <f>'Averaged Data'!D39</f>
        <v>0</v>
      </c>
      <c r="E37" s="7">
        <f>'Averaged Data'!E39</f>
        <v>0.4</v>
      </c>
      <c r="F37" s="7"/>
      <c r="G37" s="7"/>
      <c r="H37" s="7"/>
      <c r="I37" s="7"/>
      <c r="J37" s="7">
        <f>'Averaged Data'!J39</f>
        <v>25.708993530000001</v>
      </c>
      <c r="K37" s="7">
        <f>'Averaged Data'!K39</f>
        <v>2.5307476869999999</v>
      </c>
      <c r="L37" s="7">
        <f>'Averaged Data'!L39</f>
        <v>0.39910057999999998</v>
      </c>
      <c r="M37" s="7">
        <f>'Averaged Data'!M39</f>
        <v>13.58</v>
      </c>
      <c r="N37" s="7">
        <f>'Averaged Data'!N39</f>
        <v>0</v>
      </c>
      <c r="O37" s="7">
        <f>'Averaged Data'!O39</f>
        <v>2.7794197E-2</v>
      </c>
      <c r="P37" s="7">
        <f>'Averaged Data'!P39</f>
        <v>1.8148468000000001E-2</v>
      </c>
      <c r="Q37" s="7">
        <f>'Averaged Data'!Q39</f>
        <v>2.7794197E-2</v>
      </c>
      <c r="R37" s="7">
        <f>'Averaged Data'!R39</f>
        <v>1.8148468000000001E-2</v>
      </c>
      <c r="S37" s="7"/>
      <c r="T37" s="7"/>
      <c r="U37" s="7"/>
      <c r="V37" s="7">
        <f>'Averaged Data'!V39</f>
        <v>79.64063647816819</v>
      </c>
      <c r="W37" s="7">
        <f>'Averaged Data'!W39</f>
        <v>7.1515402487930362E-3</v>
      </c>
      <c r="X37" s="7">
        <f>'Averaged Data'!X39</f>
        <v>4.6696617770944221E-3</v>
      </c>
      <c r="Y37" s="7">
        <f>'Averaged Data'!Y39</f>
        <v>7.1515402487930362E-3</v>
      </c>
      <c r="Z37" s="8">
        <f>'Averaged Data'!Z39</f>
        <v>4.6696617770944221E-3</v>
      </c>
    </row>
    <row r="38" spans="1:26">
      <c r="A38" s="9" t="str">
        <f>'Averaged Data'!A40</f>
        <v>D2</v>
      </c>
      <c r="B38" t="str">
        <f>'Averaged Data'!B40</f>
        <v>V2</v>
      </c>
      <c r="C38">
        <f>'Averaged Data'!C40</f>
        <v>2</v>
      </c>
      <c r="D38">
        <f>'Averaged Data'!D40</f>
        <v>0</v>
      </c>
      <c r="E38">
        <f>'Averaged Data'!E40</f>
        <v>0.8</v>
      </c>
      <c r="J38">
        <f>'Averaged Data'!J40</f>
        <v>25.71142313</v>
      </c>
      <c r="K38">
        <f>'Averaged Data'!K40</f>
        <v>2.5282218859999999</v>
      </c>
      <c r="L38">
        <f>'Averaged Data'!L40</f>
        <v>0.807602975</v>
      </c>
      <c r="M38">
        <f>'Averaged Data'!M40</f>
        <v>14.1</v>
      </c>
      <c r="N38">
        <f>'Averaged Data'!N40</f>
        <v>0</v>
      </c>
      <c r="O38">
        <f>'Averaged Data'!O40</f>
        <v>0.43268670799999998</v>
      </c>
      <c r="P38">
        <f>'Averaged Data'!P40</f>
        <v>4.5955953999999993E-2</v>
      </c>
      <c r="Q38">
        <f>'Averaged Data'!Q40</f>
        <v>0.43268670799999998</v>
      </c>
      <c r="R38">
        <f>'Averaged Data'!R40</f>
        <v>4.5955953999999993E-2</v>
      </c>
      <c r="V38">
        <f>'Averaged Data'!V40</f>
        <v>326.11128261442531</v>
      </c>
      <c r="W38">
        <f>'Averaged Data'!W40</f>
        <v>2.718866649002943E-2</v>
      </c>
      <c r="X38">
        <f>'Averaged Data'!X40</f>
        <v>2.88772703999295E-3</v>
      </c>
      <c r="Y38">
        <f>'Averaged Data'!Y40</f>
        <v>2.718866649002943E-2</v>
      </c>
      <c r="Z38" s="10">
        <f>'Averaged Data'!Z40</f>
        <v>2.88772703999295E-3</v>
      </c>
    </row>
    <row r="39" spans="1:26">
      <c r="A39" s="9" t="str">
        <f>'Averaged Data'!A41</f>
        <v>D2</v>
      </c>
      <c r="B39" t="str">
        <f>'Averaged Data'!B41</f>
        <v>V2</v>
      </c>
      <c r="C39">
        <f>'Averaged Data'!C41</f>
        <v>3</v>
      </c>
      <c r="D39">
        <f>'Averaged Data'!D41</f>
        <v>0</v>
      </c>
      <c r="E39">
        <f>'Averaged Data'!E41</f>
        <v>1.2</v>
      </c>
      <c r="J39">
        <f>'Averaged Data'!J41</f>
        <v>25.706725899999999</v>
      </c>
      <c r="K39">
        <f>'Averaged Data'!K41</f>
        <v>2.5298767230000001</v>
      </c>
      <c r="L39">
        <f>'Averaged Data'!L41</f>
        <v>1.196363101</v>
      </c>
      <c r="M39">
        <f>'Averaged Data'!M41</f>
        <v>14.27</v>
      </c>
      <c r="N39">
        <f>'Averaged Data'!N41</f>
        <v>0</v>
      </c>
      <c r="O39">
        <f>'Averaged Data'!O41</f>
        <v>0.82467747499999999</v>
      </c>
      <c r="P39">
        <f>'Averaged Data'!P41</f>
        <v>0.11392364299999999</v>
      </c>
      <c r="Q39">
        <f>'Averaged Data'!Q41</f>
        <v>0.82467747499999999</v>
      </c>
      <c r="R39">
        <f>'Averaged Data'!R41</f>
        <v>0.11392364299999999</v>
      </c>
      <c r="V39">
        <f>'Averaged Data'!V41</f>
        <v>715.64233471716807</v>
      </c>
      <c r="W39">
        <f>'Averaged Data'!W41</f>
        <v>2.3613930823061697E-2</v>
      </c>
      <c r="X39">
        <f>'Averaged Data'!X41</f>
        <v>3.2621056188216818E-3</v>
      </c>
      <c r="Y39">
        <f>'Averaged Data'!Y41</f>
        <v>2.3613930823061697E-2</v>
      </c>
      <c r="Z39" s="10">
        <f>'Averaged Data'!Z41</f>
        <v>3.2621056188216818E-3</v>
      </c>
    </row>
    <row r="40" spans="1:26">
      <c r="A40" s="11" t="str">
        <f>'Averaged Data'!A42</f>
        <v>D2</v>
      </c>
      <c r="B40" s="12" t="str">
        <f>'Averaged Data'!B42</f>
        <v>V2</v>
      </c>
      <c r="C40" s="12">
        <f>'Averaged Data'!C42</f>
        <v>4</v>
      </c>
      <c r="D40" s="12">
        <f>'Averaged Data'!D42</f>
        <v>0</v>
      </c>
      <c r="E40" s="12">
        <f>'Averaged Data'!E42</f>
        <v>1.6</v>
      </c>
      <c r="F40" s="12"/>
      <c r="G40" s="12"/>
      <c r="H40" s="12"/>
      <c r="I40" s="12"/>
      <c r="J40" s="12">
        <f>'Averaged Data'!J42</f>
        <v>25.707094730000001</v>
      </c>
      <c r="K40" s="12">
        <f>'Averaged Data'!K42</f>
        <v>2.5265951339999999</v>
      </c>
      <c r="L40" s="12">
        <f>'Averaged Data'!L42</f>
        <v>1.6066748719999999</v>
      </c>
      <c r="M40" s="12">
        <f>'Averaged Data'!M42</f>
        <v>14.56</v>
      </c>
      <c r="N40" s="12">
        <f>'Averaged Data'!N42</f>
        <v>0</v>
      </c>
      <c r="O40" s="12">
        <f>'Averaged Data'!O42</f>
        <v>1.2398563490000001</v>
      </c>
      <c r="P40" s="12">
        <f>'Averaged Data'!P42</f>
        <v>0.179319178</v>
      </c>
      <c r="Q40" s="12">
        <f>'Averaged Data'!Q42</f>
        <v>1.2398563490000001</v>
      </c>
      <c r="R40" s="12">
        <f>'Averaged Data'!R42</f>
        <v>0.179319178</v>
      </c>
      <c r="S40" s="12"/>
      <c r="T40" s="12"/>
      <c r="U40" s="12"/>
      <c r="V40" s="12">
        <f>'Averaged Data'!V42</f>
        <v>1290.7020721581082</v>
      </c>
      <c r="W40" s="12">
        <f>'Averaged Data'!W42</f>
        <v>1.9684552264690788E-2</v>
      </c>
      <c r="X40" s="12">
        <f>'Averaged Data'!X42</f>
        <v>2.8469570158263474E-3</v>
      </c>
      <c r="Y40" s="12">
        <f>'Averaged Data'!Y42</f>
        <v>1.9684552264690788E-2</v>
      </c>
      <c r="Z40" s="13">
        <f>'Averaged Data'!Z42</f>
        <v>2.8469570158263474E-3</v>
      </c>
    </row>
    <row r="41" spans="1:26">
      <c r="A41" s="14"/>
      <c r="B41" s="14"/>
      <c r="C41" s="14"/>
      <c r="D41" s="14">
        <v>4</v>
      </c>
      <c r="E41" s="14">
        <v>-10</v>
      </c>
      <c r="F41" s="14"/>
      <c r="G41" s="14"/>
      <c r="H41" s="14"/>
      <c r="I41" s="14"/>
      <c r="J41" s="14"/>
      <c r="K41" s="14"/>
      <c r="L41" s="14">
        <v>-10</v>
      </c>
      <c r="M41" s="14"/>
      <c r="N41" s="14"/>
      <c r="O41" s="14">
        <v>0</v>
      </c>
      <c r="P41" s="14">
        <v>0</v>
      </c>
      <c r="Q41" s="14"/>
      <c r="R41" s="14"/>
      <c r="S41" s="14"/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</row>
    <row r="42" spans="1:26">
      <c r="A42" s="6" t="str">
        <f>'Averaged Data'!A43</f>
        <v>D2</v>
      </c>
      <c r="B42" s="7" t="str">
        <f>'Averaged Data'!B43</f>
        <v>V2</v>
      </c>
      <c r="C42" s="7">
        <f>'Averaged Data'!C43</f>
        <v>5</v>
      </c>
      <c r="D42" s="7">
        <f>'Averaged Data'!D43</f>
        <v>8</v>
      </c>
      <c r="E42" s="7">
        <f>'Averaged Data'!E43</f>
        <v>0.4</v>
      </c>
      <c r="F42" s="7"/>
      <c r="G42" s="7"/>
      <c r="H42" s="7"/>
      <c r="I42" s="7"/>
      <c r="J42" s="7">
        <f>'Averaged Data'!J43</f>
        <v>25.70235263</v>
      </c>
      <c r="K42" s="7">
        <f>'Averaged Data'!K43</f>
        <v>2.5248251019999999</v>
      </c>
      <c r="L42" s="7">
        <f>'Averaged Data'!L43</f>
        <v>0.400327561</v>
      </c>
      <c r="M42" s="7">
        <f>'Averaged Data'!M43</f>
        <v>15.33</v>
      </c>
      <c r="N42" s="7">
        <f>'Averaged Data'!N43</f>
        <v>0</v>
      </c>
      <c r="O42" s="7">
        <f>'Averaged Data'!O43</f>
        <v>6.2739980000000001E-2</v>
      </c>
      <c r="P42" s="7">
        <f>'Averaged Data'!P43</f>
        <v>0.202492282</v>
      </c>
      <c r="Q42" s="7">
        <f>'Averaged Data'!Q43</f>
        <v>3.3947920021064712E-2</v>
      </c>
      <c r="R42" s="7">
        <f>'Averaged Data'!R43</f>
        <v>0.20925335860198593</v>
      </c>
      <c r="S42" s="7"/>
      <c r="T42" s="7"/>
      <c r="U42" s="7"/>
      <c r="V42" s="7">
        <f>'Averaged Data'!V43</f>
        <v>80.131078048104357</v>
      </c>
      <c r="W42" s="7">
        <f>'Averaged Data'!W43</f>
        <v>1.6044403235122417E-2</v>
      </c>
      <c r="X42" s="7">
        <f>'Averaged Data'!X43</f>
        <v>5.1783054830558131E-2</v>
      </c>
      <c r="Y42" s="7">
        <f>'Averaged Data'!Y43</f>
        <v>8.6814518878018093E-3</v>
      </c>
      <c r="Z42" s="8">
        <f>'Averaged Data'!Z43</f>
        <v>5.3512055051881342E-2</v>
      </c>
    </row>
    <row r="43" spans="1:26">
      <c r="A43" s="9" t="str">
        <f>'Averaged Data'!A44</f>
        <v>D2</v>
      </c>
      <c r="B43" t="str">
        <f>'Averaged Data'!B44</f>
        <v>V2</v>
      </c>
      <c r="C43">
        <f>'Averaged Data'!C44</f>
        <v>6</v>
      </c>
      <c r="D43">
        <f>'Averaged Data'!D44</f>
        <v>8</v>
      </c>
      <c r="E43">
        <f>'Averaged Data'!E44</f>
        <v>0.8</v>
      </c>
      <c r="J43">
        <f>'Averaged Data'!J44</f>
        <v>25.702595590000001</v>
      </c>
      <c r="K43">
        <f>'Averaged Data'!K44</f>
        <v>2.5228218720000002</v>
      </c>
      <c r="L43">
        <f>'Averaged Data'!L44</f>
        <v>0.80967196399999997</v>
      </c>
      <c r="M43">
        <f>'Averaged Data'!M44</f>
        <v>15.47</v>
      </c>
      <c r="N43">
        <f>'Averaged Data'!N44</f>
        <v>0</v>
      </c>
      <c r="O43">
        <f>'Averaged Data'!O44</f>
        <v>0.53100438999999999</v>
      </c>
      <c r="P43">
        <f>'Averaged Data'!P44</f>
        <v>0.80362217400000002</v>
      </c>
      <c r="Q43">
        <f>'Averaged Data'!Q44</f>
        <v>0.41399410182274632</v>
      </c>
      <c r="R43">
        <f>'Averaged Data'!R44</f>
        <v>0.8697029058245902</v>
      </c>
      <c r="V43">
        <f>'Averaged Data'!V44</f>
        <v>327.78434464380859</v>
      </c>
      <c r="W43">
        <f>'Averaged Data'!W44</f>
        <v>3.3196330690607713E-2</v>
      </c>
      <c r="X43">
        <f>'Averaged Data'!X44</f>
        <v>5.0239335005138268E-2</v>
      </c>
      <c r="Y43">
        <f>'Averaged Data'!Y44</f>
        <v>2.5881302239457962E-2</v>
      </c>
      <c r="Z43" s="10">
        <f>'Averaged Data'!Z44</f>
        <v>5.4370445533106708E-2</v>
      </c>
    </row>
    <row r="44" spans="1:26">
      <c r="A44" s="9" t="str">
        <f>'Averaged Data'!A45</f>
        <v>D2</v>
      </c>
      <c r="B44" t="str">
        <f>'Averaged Data'!B45</f>
        <v>V2</v>
      </c>
      <c r="C44">
        <f>'Averaged Data'!C45</f>
        <v>7</v>
      </c>
      <c r="D44">
        <f>'Averaged Data'!D45</f>
        <v>8</v>
      </c>
      <c r="E44">
        <f>'Averaged Data'!E45</f>
        <v>1.2</v>
      </c>
      <c r="J44">
        <f>'Averaged Data'!J45</f>
        <v>25.702595590000001</v>
      </c>
      <c r="K44">
        <f>'Averaged Data'!K45</f>
        <v>2.523867042</v>
      </c>
      <c r="L44">
        <f>'Averaged Data'!L45</f>
        <v>1.199292507</v>
      </c>
      <c r="M44">
        <f>'Averaged Data'!M45</f>
        <v>0</v>
      </c>
      <c r="N44">
        <f>'Averaged Data'!N45</f>
        <v>0</v>
      </c>
      <c r="O44">
        <f>'Averaged Data'!O45</f>
        <v>0.95143992700000002</v>
      </c>
      <c r="P44">
        <f>'Averaged Data'!P45</f>
        <v>2.0535953080000002</v>
      </c>
      <c r="Q44">
        <f>'Averaged Data'!Q45</f>
        <v>0.65637535190250995</v>
      </c>
      <c r="R44">
        <f>'Averaged Data'!R45</f>
        <v>2.166024704647719</v>
      </c>
      <c r="V44">
        <f>'Averaged Data'!V45</f>
        <v>719.15125867317249</v>
      </c>
      <c r="W44">
        <f>'Averaged Data'!W45</f>
        <v>2.7110735857634509E-2</v>
      </c>
      <c r="X44">
        <f>'Averaged Data'!X45</f>
        <v>5.8516022266601381E-2</v>
      </c>
      <c r="Y44">
        <f>'Averaged Data'!Y45</f>
        <v>1.8703039765211416E-2</v>
      </c>
      <c r="Z44" s="10">
        <f>'Averaged Data'!Z45</f>
        <v>6.1719633539002311E-2</v>
      </c>
    </row>
    <row r="45" spans="1:26">
      <c r="A45" s="9" t="str">
        <f>'Averaged Data'!A46</f>
        <v>D2</v>
      </c>
      <c r="B45" t="str">
        <f>'Averaged Data'!B46</f>
        <v>V2</v>
      </c>
      <c r="C45">
        <f>'Averaged Data'!C46</f>
        <v>8</v>
      </c>
      <c r="D45">
        <f>'Averaged Data'!D46</f>
        <v>8</v>
      </c>
      <c r="E45">
        <f>'Averaged Data'!E46</f>
        <v>1.6</v>
      </c>
      <c r="J45">
        <f>'Averaged Data'!J46</f>
        <v>25.702301089999999</v>
      </c>
      <c r="K45">
        <f>'Averaged Data'!K46</f>
        <v>2.526910768</v>
      </c>
      <c r="L45">
        <f>'Averaged Data'!L46</f>
        <v>1.60563737</v>
      </c>
      <c r="M45">
        <f>'Averaged Data'!M46</f>
        <v>0</v>
      </c>
      <c r="N45" t="str">
        <f>'Averaged Data'!N46</f>
        <v>Final run of the day</v>
      </c>
      <c r="O45">
        <f>'Averaged Data'!O46</f>
        <v>1.682721887</v>
      </c>
      <c r="P45">
        <f>'Averaged Data'!P46</f>
        <v>3.5476519550000001</v>
      </c>
      <c r="Q45">
        <f>'Averaged Data'!Q46</f>
        <v>1.1726080295642725</v>
      </c>
      <c r="R45">
        <f>'Averaged Data'!R46</f>
        <v>3.7473160731122697</v>
      </c>
      <c r="V45">
        <f>'Averaged Data'!V46</f>
        <v>1289.0356819702583</v>
      </c>
      <c r="W45">
        <f>'Averaged Data'!W46</f>
        <v>2.6750233809232239E-2</v>
      </c>
      <c r="X45">
        <f>'Averaged Data'!X46</f>
        <v>5.6397031501872801E-2</v>
      </c>
      <c r="Y45">
        <f>'Averaged Data'!Y46</f>
        <v>1.8640952613595736E-2</v>
      </c>
      <c r="Z45" s="10">
        <f>'Averaged Data'!Z46</f>
        <v>5.9571092458754721E-2</v>
      </c>
    </row>
    <row r="46" spans="1:26">
      <c r="A46" s="9" t="str">
        <f>'Averaged Data'!A47</f>
        <v>D3</v>
      </c>
      <c r="B46" t="str">
        <f>'Averaged Data'!B47</f>
        <v>V2</v>
      </c>
      <c r="C46">
        <f>'Averaged Data'!C47</f>
        <v>9</v>
      </c>
      <c r="D46">
        <f>'Averaged Data'!D47</f>
        <v>8</v>
      </c>
      <c r="E46">
        <f>'Averaged Data'!E47</f>
        <v>1.6</v>
      </c>
      <c r="J46">
        <f>'Averaged Data'!J47</f>
        <v>16.75177339</v>
      </c>
      <c r="K46">
        <f>'Averaged Data'!K47</f>
        <v>2.5100771169999998</v>
      </c>
      <c r="L46">
        <f>'Averaged Data'!L47</f>
        <v>1.603580877</v>
      </c>
      <c r="M46">
        <f>'Averaged Data'!M47</f>
        <v>0</v>
      </c>
      <c r="N46" t="str">
        <f>'Averaged Data'!N47</f>
        <v>dropped model again to even water line</v>
      </c>
      <c r="O46">
        <f>'Averaged Data'!O47</f>
        <v>1.805329822</v>
      </c>
      <c r="P46">
        <f>'Averaged Data'!P47</f>
        <v>3.344877672</v>
      </c>
      <c r="Q46">
        <f>'Averaged Data'!Q47</f>
        <v>1.3222434783291783</v>
      </c>
      <c r="R46">
        <f>'Averaged Data'!R47</f>
        <v>3.5635789020116628</v>
      </c>
      <c r="V46">
        <f>'Averaged Data'!V47</f>
        <v>1285.7358145400447</v>
      </c>
      <c r="W46">
        <f>'Averaged Data'!W47</f>
        <v>2.8772989868690917E-2</v>
      </c>
      <c r="X46">
        <f>'Averaged Data'!X47</f>
        <v>5.3309999201058153E-2</v>
      </c>
      <c r="Y46">
        <f>'Averaged Data'!Y47</f>
        <v>2.1073655208199451E-2</v>
      </c>
      <c r="Z46" s="10">
        <f>'Averaged Data'!Z47</f>
        <v>5.6795616177364776E-2</v>
      </c>
    </row>
    <row r="47" spans="1:26">
      <c r="A47" s="11" t="str">
        <f>'Averaged Data'!A48</f>
        <v>D3</v>
      </c>
      <c r="B47" s="12" t="str">
        <f>'Averaged Data'!B48</f>
        <v>V2</v>
      </c>
      <c r="C47" s="12">
        <f>'Averaged Data'!C48</f>
        <v>10</v>
      </c>
      <c r="D47" s="12">
        <f>'Averaged Data'!D48</f>
        <v>8</v>
      </c>
      <c r="E47" s="12">
        <f>'Averaged Data'!E48</f>
        <v>1.6</v>
      </c>
      <c r="F47" s="12"/>
      <c r="G47" s="12"/>
      <c r="H47" s="12"/>
      <c r="I47" s="12"/>
      <c r="J47" s="12">
        <f>'Averaged Data'!J48</f>
        <v>19.02445294</v>
      </c>
      <c r="K47" s="12">
        <f>'Averaged Data'!K48</f>
        <v>2.5123917269999998</v>
      </c>
      <c r="L47" s="12">
        <f>'Averaged Data'!L48</f>
        <v>1.6035679039999999</v>
      </c>
      <c r="M47" s="12">
        <f>'Averaged Data'!M48</f>
        <v>0</v>
      </c>
      <c r="N47" s="12" t="str">
        <f>'Averaged Data'!N48</f>
        <v>good run, wrong clapper board used in test</v>
      </c>
      <c r="O47" s="12">
        <f>'Averaged Data'!O48</f>
        <v>1.6372181589999999</v>
      </c>
      <c r="P47" s="12">
        <f>'Averaged Data'!P48</f>
        <v>2.9793587339999998</v>
      </c>
      <c r="Q47" s="12">
        <f>'Averaged Data'!Q48</f>
        <v>1.2066382705383245</v>
      </c>
      <c r="R47" s="12">
        <f>'Averaged Data'!R48</f>
        <v>3.1782205477426695</v>
      </c>
      <c r="S47" s="12"/>
      <c r="T47" s="12"/>
      <c r="U47" s="12"/>
      <c r="V47" s="12">
        <f>'Averaged Data'!V48</f>
        <v>1285.7150113694763</v>
      </c>
      <c r="W47" s="12">
        <f>'Averaged Data'!W48</f>
        <v>2.6094081613614636E-2</v>
      </c>
      <c r="X47" s="12">
        <f>'Averaged Data'!X48</f>
        <v>4.7485198923469543E-2</v>
      </c>
      <c r="Y47" s="12">
        <f>'Averaged Data'!Y48</f>
        <v>1.9231473421214271E-2</v>
      </c>
      <c r="Z47" s="13">
        <f>'Averaged Data'!Z48</f>
        <v>5.065467048662526E-2</v>
      </c>
    </row>
    <row r="48" spans="1:26">
      <c r="A48" s="14"/>
      <c r="B48" s="14"/>
      <c r="C48" s="14"/>
      <c r="D48" s="14">
        <v>12</v>
      </c>
      <c r="E48" s="14">
        <v>-10</v>
      </c>
      <c r="F48" s="14"/>
      <c r="G48" s="14"/>
      <c r="H48" s="14"/>
      <c r="I48" s="14"/>
      <c r="J48" s="14"/>
      <c r="K48" s="14"/>
      <c r="L48" s="14">
        <v>-10</v>
      </c>
      <c r="M48" s="14"/>
      <c r="N48" s="14"/>
      <c r="O48" s="14">
        <v>0</v>
      </c>
      <c r="P48" s="14">
        <v>0</v>
      </c>
      <c r="Q48" s="14"/>
      <c r="R48" s="14"/>
      <c r="S48" s="14"/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</row>
    <row r="49" spans="1:26">
      <c r="A49" s="6" t="str">
        <f>'Averaged Data'!A49</f>
        <v>D3</v>
      </c>
      <c r="B49" s="7" t="str">
        <f>'Averaged Data'!B49</f>
        <v>V2</v>
      </c>
      <c r="C49" s="7">
        <f>'Averaged Data'!C49</f>
        <v>11</v>
      </c>
      <c r="D49" s="7">
        <f>'Averaged Data'!D49</f>
        <v>16</v>
      </c>
      <c r="E49" s="7">
        <f>'Averaged Data'!E49</f>
        <v>0.4</v>
      </c>
      <c r="F49" s="7"/>
      <c r="G49" s="7"/>
      <c r="H49" s="7"/>
      <c r="I49" s="7"/>
      <c r="J49" s="7">
        <f>'Averaged Data'!J49</f>
        <v>19.027666190000001</v>
      </c>
      <c r="K49" s="7">
        <f>'Averaged Data'!K49</f>
        <v>2.5041831550000002</v>
      </c>
      <c r="L49" s="7">
        <f>'Averaged Data'!L49</f>
        <v>0.40042877900000001</v>
      </c>
      <c r="M49" s="7">
        <f>'Averaged Data'!M49</f>
        <v>0</v>
      </c>
      <c r="N49" s="7">
        <f>'Averaged Data'!N49</f>
        <v>0</v>
      </c>
      <c r="O49" s="7">
        <f>'Averaged Data'!O49</f>
        <v>0.17309189899999999</v>
      </c>
      <c r="P49" s="7">
        <f>'Averaged Data'!P49</f>
        <v>0.52700580600000002</v>
      </c>
      <c r="Q49" s="7">
        <f>'Averaged Data'!Q49</f>
        <v>2.1124125519877773E-2</v>
      </c>
      <c r="R49" s="7">
        <f>'Averaged Data'!R49</f>
        <v>0.5543010881986038</v>
      </c>
      <c r="S49" s="7"/>
      <c r="T49" s="7"/>
      <c r="U49" s="7"/>
      <c r="V49" s="7">
        <f>'Averaged Data'!V49</f>
        <v>80.171603525715426</v>
      </c>
      <c r="W49" s="7">
        <f>'Averaged Data'!W49</f>
        <v>4.4242162903788206E-2</v>
      </c>
      <c r="X49" s="7">
        <f>'Averaged Data'!X49</f>
        <v>0.13470229892326852</v>
      </c>
      <c r="Y49" s="7">
        <f>'Averaged Data'!Y49</f>
        <v>5.3993110471940815E-3</v>
      </c>
      <c r="Z49" s="8">
        <f>'Averaged Data'!Z49</f>
        <v>0.14167895310819661</v>
      </c>
    </row>
    <row r="50" spans="1:26">
      <c r="A50" s="9" t="str">
        <f>'Averaged Data'!A50</f>
        <v>D3</v>
      </c>
      <c r="B50" t="str">
        <f>'Averaged Data'!B50</f>
        <v>V2</v>
      </c>
      <c r="C50">
        <f>'Averaged Data'!C50</f>
        <v>12</v>
      </c>
      <c r="D50">
        <f>'Averaged Data'!D50</f>
        <v>16</v>
      </c>
      <c r="E50">
        <f>'Averaged Data'!E50</f>
        <v>0.8</v>
      </c>
      <c r="J50">
        <f>'Averaged Data'!J50</f>
        <v>19.02685632</v>
      </c>
      <c r="K50">
        <f>'Averaged Data'!K50</f>
        <v>2.5097573459999998</v>
      </c>
      <c r="L50">
        <f>'Averaged Data'!L50</f>
        <v>0.81018731200000005</v>
      </c>
      <c r="M50">
        <f>'Averaged Data'!M50</f>
        <v>0</v>
      </c>
      <c r="N50">
        <f>'Averaged Data'!N50</f>
        <v>0</v>
      </c>
      <c r="O50">
        <f>'Averaged Data'!O50</f>
        <v>0.92767938400000005</v>
      </c>
      <c r="P50">
        <f>'Averaged Data'!P50</f>
        <v>2.2809337119999999</v>
      </c>
      <c r="Q50">
        <f>'Averaged Data'!Q50</f>
        <v>0.26303212078132232</v>
      </c>
      <c r="R50">
        <f>'Averaged Data'!R50</f>
        <v>2.4482773007717076</v>
      </c>
      <c r="V50">
        <f>'Averaged Data'!V50</f>
        <v>328.20174026289271</v>
      </c>
      <c r="W50">
        <f>'Averaged Data'!W50</f>
        <v>5.7921153700757039E-2</v>
      </c>
      <c r="X50">
        <f>'Averaged Data'!X50</f>
        <v>0.14241376319514101</v>
      </c>
      <c r="Y50">
        <f>'Averaged Data'!Y50</f>
        <v>1.6422833318036806E-2</v>
      </c>
      <c r="Z50" s="10">
        <f>'Averaged Data'!Z50</f>
        <v>0.15286212918586606</v>
      </c>
    </row>
    <row r="51" spans="1:26">
      <c r="A51" s="9" t="str">
        <f>'Averaged Data'!A51</f>
        <v>D3</v>
      </c>
      <c r="B51" t="str">
        <f>'Averaged Data'!B51</f>
        <v>V2</v>
      </c>
      <c r="C51">
        <f>'Averaged Data'!C51</f>
        <v>13</v>
      </c>
      <c r="D51">
        <f>'Averaged Data'!D51</f>
        <v>16</v>
      </c>
      <c r="E51">
        <f>'Averaged Data'!E51</f>
        <v>1.2</v>
      </c>
      <c r="J51">
        <f>'Averaged Data'!J51</f>
        <v>19.026370400000001</v>
      </c>
      <c r="K51">
        <f>'Averaged Data'!K51</f>
        <v>2.5060121959999999</v>
      </c>
      <c r="L51">
        <f>'Averaged Data'!L51</f>
        <v>1.197884553</v>
      </c>
      <c r="M51">
        <f>'Averaged Data'!M51</f>
        <v>0</v>
      </c>
      <c r="N51">
        <f>'Averaged Data'!N51</f>
        <v>0</v>
      </c>
      <c r="O51">
        <f>'Averaged Data'!O51</f>
        <v>2.0713320180000001</v>
      </c>
      <c r="P51">
        <f>'Averaged Data'!P51</f>
        <v>5.3482779630000001</v>
      </c>
      <c r="Q51">
        <f>'Averaged Data'!Q51</f>
        <v>0.51690693257837417</v>
      </c>
      <c r="R51">
        <f>'Averaged Data'!R51</f>
        <v>5.7120312255235266</v>
      </c>
      <c r="V51">
        <f>'Averaged Data'!V51</f>
        <v>717.46370115800482</v>
      </c>
      <c r="W51">
        <f>'Averaged Data'!W51</f>
        <v>5.9160244858655661E-2</v>
      </c>
      <c r="X51">
        <f>'Averaged Data'!X51</f>
        <v>0.15275457102659054</v>
      </c>
      <c r="Y51">
        <f>'Averaged Data'!Y51</f>
        <v>1.4763611258228147E-2</v>
      </c>
      <c r="Z51" s="10">
        <f>'Averaged Data'!Z51</f>
        <v>0.16314389146967687</v>
      </c>
    </row>
    <row r="52" spans="1:26">
      <c r="A52" s="11" t="str">
        <f>'Averaged Data'!A52</f>
        <v>D3</v>
      </c>
      <c r="B52" s="12" t="str">
        <f>'Averaged Data'!B52</f>
        <v>V2</v>
      </c>
      <c r="C52" s="12">
        <f>'Averaged Data'!C52</f>
        <v>14</v>
      </c>
      <c r="D52" s="12">
        <f>'Averaged Data'!D52</f>
        <v>16</v>
      </c>
      <c r="E52" s="12">
        <f>'Averaged Data'!E52</f>
        <v>1.6</v>
      </c>
      <c r="F52" s="12"/>
      <c r="G52" s="12"/>
      <c r="H52" s="12"/>
      <c r="I52" s="12"/>
      <c r="J52" s="12">
        <f>'Averaged Data'!J52</f>
        <v>19.02777914</v>
      </c>
      <c r="K52" s="12">
        <f>'Averaged Data'!K52</f>
        <v>2.5070260040000001</v>
      </c>
      <c r="L52" s="12">
        <f>'Averaged Data'!L52</f>
        <v>1.6058393099999999</v>
      </c>
      <c r="M52" s="12">
        <f>'Averaged Data'!M52</f>
        <v>0</v>
      </c>
      <c r="N52" s="12" t="str">
        <f>'Averaged Data'!N52</f>
        <v>water over bow a bit. Adjusted angle??</v>
      </c>
      <c r="O52" s="12">
        <f>'Averaged Data'!O52</f>
        <v>3.5402592590000004</v>
      </c>
      <c r="P52" s="12">
        <f>'Averaged Data'!P52</f>
        <v>8.2081412100000009</v>
      </c>
      <c r="Q52" s="12">
        <f>'Averaged Data'!Q52</f>
        <v>1.1406452800707321</v>
      </c>
      <c r="R52" s="12">
        <f>'Averaged Data'!R52</f>
        <v>8.8659994410832148</v>
      </c>
      <c r="S52" s="12"/>
      <c r="T52" s="12"/>
      <c r="U52" s="12"/>
      <c r="V52" s="12">
        <f>'Averaged Data'!V52</f>
        <v>1289.3599447706379</v>
      </c>
      <c r="W52" s="12">
        <f>'Averaged Data'!W52</f>
        <v>5.6265355989392668E-2</v>
      </c>
      <c r="X52" s="12">
        <f>'Averaged Data'!X52</f>
        <v>0.13045202438713663</v>
      </c>
      <c r="Y52" s="12">
        <f>'Averaged Data'!Y52</f>
        <v>1.8128280457891808E-2</v>
      </c>
      <c r="Z52" s="13">
        <f>'Averaged Data'!Z52</f>
        <v>0.14090736814998425</v>
      </c>
    </row>
    <row r="53" spans="1:26">
      <c r="A53" s="6" t="str">
        <f>'Averaged Data'!A53</f>
        <v>D3</v>
      </c>
      <c r="B53" s="7" t="str">
        <f>'Averaged Data'!B53</f>
        <v>V2</v>
      </c>
      <c r="C53" s="7">
        <f>'Averaged Data'!C53</f>
        <v>15</v>
      </c>
      <c r="D53" s="7">
        <f>'Averaged Data'!D53</f>
        <v>24</v>
      </c>
      <c r="E53" s="7">
        <f>'Averaged Data'!E53</f>
        <v>0.4</v>
      </c>
      <c r="F53" s="7"/>
      <c r="G53" s="7"/>
      <c r="H53" s="7"/>
      <c r="I53" s="7"/>
      <c r="J53" s="7">
        <f>'Averaged Data'!J53</f>
        <v>19.02928592</v>
      </c>
      <c r="K53" s="7">
        <f>'Averaged Data'!K53</f>
        <v>2.5114121850000002</v>
      </c>
      <c r="L53" s="7">
        <f>'Averaged Data'!L53</f>
        <v>0.40032908499999997</v>
      </c>
      <c r="M53" s="7">
        <f>'Averaged Data'!M53</f>
        <v>0</v>
      </c>
      <c r="N53" s="7">
        <f>'Averaged Data'!N53</f>
        <v>0</v>
      </c>
      <c r="O53" s="7">
        <f>'Averaged Data'!O53</f>
        <v>0.46712446199999996</v>
      </c>
      <c r="P53" s="7">
        <f>'Averaged Data'!P53</f>
        <v>0.92867773900000006</v>
      </c>
      <c r="Q53" s="7">
        <f>'Averaged Data'!Q53</f>
        <v>4.9012164353759491E-2</v>
      </c>
      <c r="R53" s="7">
        <f>'Averaged Data'!R53</f>
        <v>1.0383859656497201</v>
      </c>
      <c r="S53" s="7"/>
      <c r="T53" s="7"/>
      <c r="U53" s="7"/>
      <c r="V53" s="7">
        <f>'Averaged Data'!V53</f>
        <v>80.131688148468612</v>
      </c>
      <c r="W53" s="7">
        <f>'Averaged Data'!W53</f>
        <v>0.11945614529213117</v>
      </c>
      <c r="X53" s="7">
        <f>'Averaged Data'!X53</f>
        <v>0.23748759044768647</v>
      </c>
      <c r="Y53" s="7">
        <f>'Averaged Data'!Y53</f>
        <v>1.253371360826851E-2</v>
      </c>
      <c r="Z53" s="8">
        <f>'Averaged Data'!Z53</f>
        <v>0.26554290103086681</v>
      </c>
    </row>
    <row r="54" spans="1:26">
      <c r="A54" s="9" t="str">
        <f>'Averaged Data'!A54</f>
        <v>D3</v>
      </c>
      <c r="B54" t="str">
        <f>'Averaged Data'!B54</f>
        <v>V2</v>
      </c>
      <c r="C54">
        <f>'Averaged Data'!C54</f>
        <v>16</v>
      </c>
      <c r="D54">
        <f>'Averaged Data'!D54</f>
        <v>24</v>
      </c>
      <c r="E54">
        <f>'Averaged Data'!E54</f>
        <v>0.8</v>
      </c>
      <c r="J54">
        <f>'Averaged Data'!J54</f>
        <v>19.029042960000002</v>
      </c>
      <c r="K54">
        <f>'Averaged Data'!K54</f>
        <v>2.5099315469999999</v>
      </c>
      <c r="L54">
        <f>'Averaged Data'!L54</f>
        <v>0.80901094500000004</v>
      </c>
      <c r="M54">
        <f>'Averaged Data'!M54</f>
        <v>0</v>
      </c>
      <c r="N54">
        <f>'Averaged Data'!N54</f>
        <v>0</v>
      </c>
      <c r="O54">
        <f>'Averaged Data'!O54</f>
        <v>1.8761560489999998</v>
      </c>
      <c r="P54">
        <f>'Averaged Data'!P54</f>
        <v>3.6966246500000004</v>
      </c>
      <c r="Q54">
        <f>'Averaged Data'!Q54</f>
        <v>0.21040113554038364</v>
      </c>
      <c r="R54">
        <f>'Averaged Data'!R54</f>
        <v>4.140136070873786</v>
      </c>
      <c r="V54">
        <f>'Averaged Data'!V54</f>
        <v>327.24935456489658</v>
      </c>
      <c r="W54">
        <f>'Averaged Data'!W54</f>
        <v>0.11748173110179608</v>
      </c>
      <c r="X54">
        <f>'Averaged Data'!X54</f>
        <v>0.23147640802429389</v>
      </c>
      <c r="Y54">
        <f>'Averaged Data'!Y54</f>
        <v>1.317496465298975E-2</v>
      </c>
      <c r="Z54" s="10">
        <f>'Averaged Data'!Z54</f>
        <v>0.25924834603309732</v>
      </c>
    </row>
    <row r="55" spans="1:26">
      <c r="A55" s="9" t="str">
        <f>'Averaged Data'!A56</f>
        <v>D3</v>
      </c>
      <c r="B55" t="str">
        <f>'Averaged Data'!B56</f>
        <v>V2</v>
      </c>
      <c r="C55">
        <f>'Averaged Data'!C56</f>
        <v>18</v>
      </c>
      <c r="D55">
        <f>'Averaged Data'!D56</f>
        <v>24</v>
      </c>
      <c r="E55">
        <f>'Averaged Data'!E56</f>
        <v>1</v>
      </c>
      <c r="J55">
        <f>'Averaged Data'!J56</f>
        <v>19.027423219999999</v>
      </c>
      <c r="K55">
        <f>'Averaged Data'!K56</f>
        <v>2.5081025100000001</v>
      </c>
      <c r="L55">
        <f>'Averaged Data'!L56</f>
        <v>1.003192364</v>
      </c>
      <c r="M55">
        <f>'Averaged Data'!M56</f>
        <v>14.12</v>
      </c>
      <c r="N55">
        <f>'Averaged Data'!N56</f>
        <v>0</v>
      </c>
      <c r="O55">
        <f>'Averaged Data'!O56</f>
        <v>3.0296824060000001</v>
      </c>
      <c r="P55">
        <f>'Averaged Data'!P56</f>
        <v>5.7165379549999997</v>
      </c>
      <c r="Q55">
        <f>'Averaged Data'!Q56</f>
        <v>0.44262714226890632</v>
      </c>
      <c r="R55">
        <f>'Averaged Data'!R56</f>
        <v>6.4546001336340257</v>
      </c>
      <c r="V55">
        <f>'Averaged Data'!V56</f>
        <v>503.19745959395425</v>
      </c>
      <c r="W55">
        <f>'Averaged Data'!W56</f>
        <v>0.12337831735230335</v>
      </c>
      <c r="X55">
        <f>'Averaged Data'!X56</f>
        <v>0.23279563315669768</v>
      </c>
      <c r="Y55">
        <f>'Averaged Data'!Y56</f>
        <v>1.8025187035923346E-2</v>
      </c>
      <c r="Z55" s="10">
        <f>'Averaged Data'!Z56</f>
        <v>0.26285187585755099</v>
      </c>
    </row>
    <row r="56" spans="1:26">
      <c r="A56" s="11" t="str">
        <f>'Averaged Data'!A55</f>
        <v>D3</v>
      </c>
      <c r="B56" s="12" t="str">
        <f>'Averaged Data'!B55</f>
        <v>V2</v>
      </c>
      <c r="C56" s="12">
        <f>'Averaged Data'!C55</f>
        <v>17</v>
      </c>
      <c r="D56" s="12">
        <f>'Averaged Data'!D55</f>
        <v>24</v>
      </c>
      <c r="E56" s="12">
        <f>'Averaged Data'!E55</f>
        <v>1.2</v>
      </c>
      <c r="F56" s="12"/>
      <c r="G56" s="12"/>
      <c r="H56" s="12"/>
      <c r="I56" s="12"/>
      <c r="J56" s="12">
        <f>'Averaged Data'!J55</f>
        <v>19.02807112</v>
      </c>
      <c r="K56" s="12">
        <f>'Averaged Data'!K55</f>
        <v>2.5094960670000002</v>
      </c>
      <c r="L56" s="12">
        <f>'Averaged Data'!L55</f>
        <v>1.194729685</v>
      </c>
      <c r="M56" s="12">
        <f>'Averaged Data'!M55</f>
        <v>0</v>
      </c>
      <c r="N56" s="12" t="str">
        <f>'Averaged Data'!N55</f>
        <v>a Little water over bow. Reduce speed to 1.0m/s to capture curve more accurately</v>
      </c>
      <c r="O56" s="12">
        <f>'Averaged Data'!O55</f>
        <v>3.9354020369999994</v>
      </c>
      <c r="P56" s="12">
        <f>'Averaged Data'!P55</f>
        <v>7.1846280250000003</v>
      </c>
      <c r="Q56" s="12">
        <f>'Averaged Data'!Q55</f>
        <v>0.67291717026197162</v>
      </c>
      <c r="R56" s="12">
        <f>'Averaged Data'!R55</f>
        <v>8.1641565107735268</v>
      </c>
      <c r="S56" s="12"/>
      <c r="T56" s="12"/>
      <c r="U56" s="12"/>
      <c r="V56" s="12">
        <f>'Averaged Data'!V55</f>
        <v>713.6895101100996</v>
      </c>
      <c r="W56" s="12">
        <f>'Averaged Data'!W55</f>
        <v>0.11299519359940341</v>
      </c>
      <c r="X56" s="12">
        <f>'Averaged Data'!X55</f>
        <v>0.20628856391085273</v>
      </c>
      <c r="Y56" s="12">
        <f>'Averaged Data'!Y55</f>
        <v>1.9321127858153365E-2</v>
      </c>
      <c r="Z56" s="13">
        <f>'Averaged Data'!Z55</f>
        <v>0.23441326625269635</v>
      </c>
    </row>
    <row r="58" spans="1:26">
      <c r="A58" s="6" t="str">
        <f>'Averaged Data'!A63</f>
        <v>D4</v>
      </c>
      <c r="B58" s="7" t="str">
        <f>'Averaged Data'!B63</f>
        <v>V3</v>
      </c>
      <c r="C58" s="7">
        <f>'Averaged Data'!C63</f>
        <v>24</v>
      </c>
      <c r="D58" s="7">
        <f>'Averaged Data'!D63</f>
        <v>0</v>
      </c>
      <c r="E58" s="7">
        <f>'Averaged Data'!E63</f>
        <v>0.4</v>
      </c>
      <c r="F58" s="7"/>
      <c r="G58" s="7"/>
      <c r="H58" s="7"/>
      <c r="I58" s="7"/>
      <c r="J58" s="7">
        <f>'Averaged Data'!J63</f>
        <v>14.109663039999999</v>
      </c>
      <c r="K58" s="7">
        <f>'Averaged Data'!K63</f>
        <v>2.627163779</v>
      </c>
      <c r="L58" s="7">
        <f>'Averaged Data'!L63</f>
        <v>0.40046712400000001</v>
      </c>
      <c r="M58" s="7">
        <f>'Averaged Data'!M63</f>
        <v>9.26</v>
      </c>
      <c r="N58" s="7" t="str">
        <f>'Averaged Data'!N63</f>
        <v>Twater = 16</v>
      </c>
      <c r="O58" s="7">
        <f>'Averaged Data'!O63</f>
        <v>3.3049399E-2</v>
      </c>
      <c r="P58" s="7">
        <f>'Averaged Data'!P63</f>
        <v>7.151359999999999E-4</v>
      </c>
      <c r="Q58" s="7">
        <f>'Averaged Data'!Q63</f>
        <v>3.3049399E-2</v>
      </c>
      <c r="R58" s="7">
        <f>'Averaged Data'!R63</f>
        <v>7.151359999999999E-4</v>
      </c>
      <c r="S58" s="7"/>
      <c r="T58" s="7"/>
      <c r="U58" s="7"/>
      <c r="V58" s="7">
        <f>'Averaged Data'!V63</f>
        <v>80.186958702415694</v>
      </c>
      <c r="W58" s="7">
        <f>'Averaged Data'!W63</f>
        <v>8.4457846231607084E-3</v>
      </c>
      <c r="X58" s="7">
        <f>'Averaged Data'!X63</f>
        <v>1.8275323651932839E-4</v>
      </c>
      <c r="Y58" s="7">
        <f>'Averaged Data'!Y63</f>
        <v>8.4457846231607084E-3</v>
      </c>
      <c r="Z58" s="8">
        <f>'Averaged Data'!Z63</f>
        <v>1.8275323651932839E-4</v>
      </c>
    </row>
    <row r="59" spans="1:26">
      <c r="A59" s="9" t="str">
        <f>'Averaged Data'!A64</f>
        <v>D4</v>
      </c>
      <c r="B59" t="str">
        <f>'Averaged Data'!B64</f>
        <v>V3</v>
      </c>
      <c r="C59">
        <f>'Averaged Data'!C64</f>
        <v>25</v>
      </c>
      <c r="D59">
        <f>'Averaged Data'!D64</f>
        <v>0</v>
      </c>
      <c r="E59">
        <f>'Averaged Data'!E64</f>
        <v>0.8</v>
      </c>
      <c r="J59">
        <f>'Averaged Data'!J64</f>
        <v>14.11436026</v>
      </c>
      <c r="K59">
        <f>'Averaged Data'!K64</f>
        <v>2.6225476759999999</v>
      </c>
      <c r="L59">
        <f>'Averaged Data'!L64</f>
        <v>0.80883299900000005</v>
      </c>
      <c r="M59">
        <f>'Averaged Data'!M64</f>
        <v>9.3699999999999992</v>
      </c>
      <c r="N59">
        <f>'Averaged Data'!N64</f>
        <v>0</v>
      </c>
      <c r="O59">
        <f>'Averaged Data'!O64</f>
        <v>0.150880187</v>
      </c>
      <c r="P59">
        <f>'Averaged Data'!P64</f>
        <v>3.6282541000000001E-2</v>
      </c>
      <c r="Q59">
        <f>'Averaged Data'!Q64</f>
        <v>0.150880187</v>
      </c>
      <c r="R59">
        <f>'Averaged Data'!R64</f>
        <v>3.6282541000000001E-2</v>
      </c>
      <c r="V59">
        <f>'Averaged Data'!V64</f>
        <v>327.105410135667</v>
      </c>
      <c r="W59">
        <f>'Averaged Data'!W64</f>
        <v>9.4520207090839931E-3</v>
      </c>
      <c r="X59">
        <f>'Averaged Data'!X64</f>
        <v>2.2729513777060011E-3</v>
      </c>
      <c r="Y59">
        <f>'Averaged Data'!Y64</f>
        <v>9.4520207090839931E-3</v>
      </c>
      <c r="Z59" s="10">
        <f>'Averaged Data'!Z64</f>
        <v>2.2729513777060011E-3</v>
      </c>
    </row>
    <row r="60" spans="1:26">
      <c r="A60" s="11" t="str">
        <f>'Averaged Data'!A65</f>
        <v>D4</v>
      </c>
      <c r="B60" s="12" t="str">
        <f>'Averaged Data'!B65</f>
        <v>V3</v>
      </c>
      <c r="C60" s="12">
        <f>'Averaged Data'!C65</f>
        <v>26</v>
      </c>
      <c r="D60" s="12">
        <f>'Averaged Data'!D65</f>
        <v>0</v>
      </c>
      <c r="E60" s="12">
        <f>'Averaged Data'!E65</f>
        <v>1.2</v>
      </c>
      <c r="F60" s="12"/>
      <c r="G60" s="12"/>
      <c r="H60" s="12"/>
      <c r="I60" s="12"/>
      <c r="J60" s="12">
        <f>'Averaged Data'!J65</f>
        <v>14.11549407</v>
      </c>
      <c r="K60" s="12">
        <f>'Averaged Data'!K65</f>
        <v>2.621154142</v>
      </c>
      <c r="L60" s="12">
        <f>'Averaged Data'!L65</f>
        <v>1.196493461</v>
      </c>
      <c r="M60" s="12">
        <f>'Averaged Data'!M65</f>
        <v>9.52</v>
      </c>
      <c r="N60" s="12">
        <f>'Averaged Data'!N65</f>
        <v>0</v>
      </c>
      <c r="O60" s="12">
        <f>'Averaged Data'!O65</f>
        <v>0.54744192999999997</v>
      </c>
      <c r="P60" s="12">
        <f>'Averaged Data'!P65</f>
        <v>0.11643350400000001</v>
      </c>
      <c r="Q60" s="12">
        <f>'Averaged Data'!Q65</f>
        <v>0.54744192999999997</v>
      </c>
      <c r="R60" s="12">
        <f>'Averaged Data'!R65</f>
        <v>0.11643350400000001</v>
      </c>
      <c r="S60" s="12"/>
      <c r="T60" s="12"/>
      <c r="U60" s="12"/>
      <c r="V60" s="12">
        <f>'Averaged Data'!V65</f>
        <v>715.79830110787918</v>
      </c>
      <c r="W60" s="12">
        <f>'Averaged Data'!W65</f>
        <v>1.5672113664844924E-2</v>
      </c>
      <c r="X60" s="12">
        <f>'Averaged Data'!X65</f>
        <v>3.3332468871797526E-3</v>
      </c>
      <c r="Y60" s="12">
        <f>'Averaged Data'!Y65</f>
        <v>1.5672113664844924E-2</v>
      </c>
      <c r="Z60" s="13">
        <f>'Averaged Data'!Z65</f>
        <v>3.3332468871797526E-3</v>
      </c>
    </row>
    <row r="61" spans="1:26">
      <c r="A61" s="6" t="str">
        <f>'Averaged Data'!A66</f>
        <v>D4</v>
      </c>
      <c r="B61" s="7" t="str">
        <f>'Averaged Data'!B66</f>
        <v>V3</v>
      </c>
      <c r="C61" s="7">
        <f>'Averaged Data'!C66</f>
        <v>27</v>
      </c>
      <c r="D61" s="7">
        <f>'Averaged Data'!D66</f>
        <v>4</v>
      </c>
      <c r="E61" s="7">
        <f>'Averaged Data'!E66</f>
        <v>0.4</v>
      </c>
      <c r="F61" s="7"/>
      <c r="G61" s="7"/>
      <c r="H61" s="7"/>
      <c r="I61" s="7"/>
      <c r="J61" s="7">
        <f>'Averaged Data'!J66</f>
        <v>14.11589901</v>
      </c>
      <c r="K61" s="7">
        <f>'Averaged Data'!K66</f>
        <v>2.6189767270000002</v>
      </c>
      <c r="L61" s="7">
        <f>'Averaged Data'!L66</f>
        <v>0.399398115</v>
      </c>
      <c r="M61" s="7">
        <f>'Averaged Data'!M66</f>
        <v>10.19</v>
      </c>
      <c r="N61" s="7">
        <f>'Averaged Data'!N66</f>
        <v>0</v>
      </c>
      <c r="O61" s="7">
        <f>'Averaged Data'!O66</f>
        <v>2.2953411E-2</v>
      </c>
      <c r="P61" s="7">
        <f>'Averaged Data'!P66</f>
        <v>0.101740539</v>
      </c>
      <c r="Q61" s="7">
        <f>'Averaged Data'!Q66</f>
        <v>1.5800436406971746E-2</v>
      </c>
      <c r="R61" s="7">
        <f>'Averaged Data'!R66</f>
        <v>0.10309385317221723</v>
      </c>
      <c r="S61" s="7"/>
      <c r="T61" s="7"/>
      <c r="U61" s="7"/>
      <c r="V61" s="7">
        <f>'Averaged Data'!V66</f>
        <v>79.759427132776622</v>
      </c>
      <c r="W61" s="7">
        <f>'Averaged Data'!W66</f>
        <v>5.8971935944810107E-3</v>
      </c>
      <c r="X61" s="7">
        <f>'Averaged Data'!X66</f>
        <v>2.613919364271591E-2</v>
      </c>
      <c r="Y61" s="7">
        <f>'Averaged Data'!Y66</f>
        <v>4.0594503522460492E-3</v>
      </c>
      <c r="Z61" s="8">
        <f>'Averaged Data'!Z66</f>
        <v>2.648688731089097E-2</v>
      </c>
    </row>
    <row r="62" spans="1:26">
      <c r="A62" s="9" t="str">
        <f>'Averaged Data'!A67</f>
        <v>D4</v>
      </c>
      <c r="B62" t="str">
        <f>'Averaged Data'!B67</f>
        <v>V3</v>
      </c>
      <c r="C62">
        <f>'Averaged Data'!C67</f>
        <v>28</v>
      </c>
      <c r="D62">
        <f>'Averaged Data'!D67</f>
        <v>4</v>
      </c>
      <c r="E62">
        <f>'Averaged Data'!E67</f>
        <v>0.8</v>
      </c>
      <c r="J62">
        <f>'Averaged Data'!J67</f>
        <v>14.111606719999999</v>
      </c>
      <c r="K62">
        <f>'Averaged Data'!K67</f>
        <v>2.6210670359999999</v>
      </c>
      <c r="L62">
        <f>'Averaged Data'!L67</f>
        <v>0.80615512700000003</v>
      </c>
      <c r="M62">
        <f>'Averaged Data'!M67</f>
        <v>10.33</v>
      </c>
      <c r="N62">
        <f>'Averaged Data'!N67</f>
        <v>0</v>
      </c>
      <c r="O62">
        <f>'Averaged Data'!O67</f>
        <v>0.27120161000000004</v>
      </c>
      <c r="P62">
        <f>'Averaged Data'!P67</f>
        <v>0.418914909</v>
      </c>
      <c r="Q62">
        <f>'Averaged Data'!Q67</f>
        <v>0.24131894965790412</v>
      </c>
      <c r="R62">
        <f>'Averaged Data'!R67</f>
        <v>0.43681252132359522</v>
      </c>
      <c r="V62">
        <f>'Averaged Data'!V67</f>
        <v>324.94304439419307</v>
      </c>
      <c r="W62">
        <f>'Averaged Data'!W67</f>
        <v>1.7102720420880384E-2</v>
      </c>
      <c r="X62">
        <f>'Averaged Data'!X67</f>
        <v>2.6417927860994436E-2</v>
      </c>
      <c r="Y62">
        <f>'Averaged Data'!Y67</f>
        <v>1.5218237562305186E-2</v>
      </c>
      <c r="Z62" s="10">
        <f>'Averaged Data'!Z67</f>
        <v>2.7546600584477724E-2</v>
      </c>
    </row>
    <row r="63" spans="1:26">
      <c r="A63" s="11" t="str">
        <f>'Averaged Data'!A68</f>
        <v>D4</v>
      </c>
      <c r="B63" s="12" t="str">
        <f>'Averaged Data'!B68</f>
        <v>V3</v>
      </c>
      <c r="C63" s="12">
        <f>'Averaged Data'!C68</f>
        <v>29</v>
      </c>
      <c r="D63" s="12">
        <f>'Averaged Data'!D68</f>
        <v>4</v>
      </c>
      <c r="E63" s="12">
        <f>'Averaged Data'!E68</f>
        <v>1.2</v>
      </c>
      <c r="F63" s="12"/>
      <c r="G63" s="12"/>
      <c r="H63" s="12"/>
      <c r="I63" s="12"/>
      <c r="J63" s="12">
        <f>'Averaged Data'!J68</f>
        <v>14.11371237</v>
      </c>
      <c r="K63" s="12">
        <f>'Averaged Data'!K68</f>
        <v>2.6239411970000002</v>
      </c>
      <c r="L63" s="12">
        <f>'Averaged Data'!L68</f>
        <v>1.196628434</v>
      </c>
      <c r="M63" s="12">
        <f>'Averaged Data'!M68</f>
        <v>11.07</v>
      </c>
      <c r="N63" s="12" t="str">
        <f>'Averaged Data'!N68</f>
        <v>adjusted to 8degs</v>
      </c>
      <c r="O63" s="12">
        <f>'Averaged Data'!O68</f>
        <v>0.55746650600000003</v>
      </c>
      <c r="P63" s="12">
        <f>'Averaged Data'!P68</f>
        <v>0.99762362900000001</v>
      </c>
      <c r="Q63" s="12">
        <f>'Averaged Data'!Q68</f>
        <v>0.48651783912669511</v>
      </c>
      <c r="R63" s="12">
        <f>'Averaged Data'!R68</f>
        <v>1.0340803656691624</v>
      </c>
      <c r="S63" s="12"/>
      <c r="T63" s="12"/>
      <c r="U63" s="12"/>
      <c r="V63" s="12">
        <f>'Averaged Data'!V68</f>
        <v>715.95980452864615</v>
      </c>
      <c r="W63" s="12">
        <f>'Averaged Data'!W68</f>
        <v>1.5955496248746145E-2</v>
      </c>
      <c r="X63" s="12">
        <f>'Averaged Data'!X68</f>
        <v>2.8553428589609315E-2</v>
      </c>
      <c r="Y63" s="12">
        <f>'Averaged Data'!Y68</f>
        <v>1.3924842970088796E-2</v>
      </c>
      <c r="Z63" s="13">
        <f>'Averaged Data'!Z68</f>
        <v>2.9596873027805476E-2</v>
      </c>
    </row>
    <row r="64" spans="1:26">
      <c r="A64" s="6" t="str">
        <f>'Averaged Data'!A69</f>
        <v>D4</v>
      </c>
      <c r="B64" s="7" t="str">
        <f>'Averaged Data'!B69</f>
        <v>V3</v>
      </c>
      <c r="C64" s="7">
        <f>'Averaged Data'!C69</f>
        <v>30</v>
      </c>
      <c r="D64" s="7">
        <f>'Averaged Data'!D69</f>
        <v>8</v>
      </c>
      <c r="E64" s="7">
        <f>'Averaged Data'!E69</f>
        <v>0.4</v>
      </c>
      <c r="F64" s="7"/>
      <c r="G64" s="7"/>
      <c r="H64" s="7"/>
      <c r="I64" s="7"/>
      <c r="J64" s="7">
        <f>'Averaged Data'!J69</f>
        <v>14.110634879999999</v>
      </c>
      <c r="K64" s="7">
        <f>'Averaged Data'!K69</f>
        <v>2.6244638220000001</v>
      </c>
      <c r="L64" s="7">
        <f>'Averaged Data'!L69</f>
        <v>0.39947481400000001</v>
      </c>
      <c r="M64" s="7">
        <f>'Averaged Data'!M69</f>
        <v>0</v>
      </c>
      <c r="N64" s="7">
        <f>'Averaged Data'!N69</f>
        <v>0</v>
      </c>
      <c r="O64" s="7">
        <f>'Averaged Data'!O69</f>
        <v>0.136457726</v>
      </c>
      <c r="P64" s="7">
        <f>'Averaged Data'!P69</f>
        <v>0.23400464100000001</v>
      </c>
      <c r="Q64" s="7">
        <f>'Averaged Data'!Q69</f>
        <v>0.1025625772638695</v>
      </c>
      <c r="R64" s="7">
        <f>'Averaged Data'!R69</f>
        <v>0.25071856879701349</v>
      </c>
      <c r="S64" s="7"/>
      <c r="T64" s="7"/>
      <c r="U64" s="7"/>
      <c r="V64" s="7">
        <f>'Averaged Data'!V69</f>
        <v>79.7900635101673</v>
      </c>
      <c r="W64" s="7">
        <f>'Averaged Data'!W69</f>
        <v>3.5045276993580336E-2</v>
      </c>
      <c r="X64" s="7">
        <f>'Averaged Data'!X69</f>
        <v>6.0097421392089782E-2</v>
      </c>
      <c r="Y64" s="7">
        <f>'Averaged Data'!Y69</f>
        <v>2.6340274272105276E-2</v>
      </c>
      <c r="Z64" s="8">
        <f>'Averaged Data'!Z69</f>
        <v>6.4389917291494111E-2</v>
      </c>
    </row>
    <row r="65" spans="1:44">
      <c r="A65" s="9" t="str">
        <f>'Averaged Data'!A70</f>
        <v>D4</v>
      </c>
      <c r="B65" t="str">
        <f>'Averaged Data'!B70</f>
        <v>V3</v>
      </c>
      <c r="C65">
        <f>'Averaged Data'!C70</f>
        <v>31</v>
      </c>
      <c r="D65">
        <f>'Averaged Data'!D70</f>
        <v>8</v>
      </c>
      <c r="E65">
        <f>'Averaged Data'!E70</f>
        <v>0.8</v>
      </c>
      <c r="J65">
        <f>'Averaged Data'!J70</f>
        <v>14.109015149999999</v>
      </c>
      <c r="K65">
        <f>'Averaged Data'!K70</f>
        <v>2.6201960629999999</v>
      </c>
      <c r="L65">
        <f>'Averaged Data'!L70</f>
        <v>0.80940050100000005</v>
      </c>
      <c r="M65">
        <f>'Averaged Data'!M70</f>
        <v>0</v>
      </c>
      <c r="N65">
        <f>'Averaged Data'!N70</f>
        <v>0</v>
      </c>
      <c r="O65">
        <f>'Averaged Data'!O70</f>
        <v>0.22767566100000003</v>
      </c>
      <c r="P65">
        <f>'Averaged Data'!P70</f>
        <v>1.0670078889999999</v>
      </c>
      <c r="Q65">
        <f>'Averaged Data'!Q70</f>
        <v>7.6961140456947214E-2</v>
      </c>
      <c r="R65">
        <f>'Averaged Data'!R70</f>
        <v>1.0883101693265522</v>
      </c>
      <c r="V65">
        <f>'Averaged Data'!V70</f>
        <v>327.56458550952556</v>
      </c>
      <c r="W65">
        <f>'Averaged Data'!W70</f>
        <v>1.4242946469015361E-2</v>
      </c>
      <c r="X65">
        <f>'Averaged Data'!X70</f>
        <v>6.6749937952498492E-2</v>
      </c>
      <c r="Y65">
        <f>'Averaged Data'!Y70</f>
        <v>4.8145392393202343E-3</v>
      </c>
      <c r="Z65" s="10">
        <f>'Averaged Data'!Z70</f>
        <v>6.8082567171741409E-2</v>
      </c>
    </row>
    <row r="66" spans="1:44">
      <c r="A66" s="11" t="str">
        <f>'Averaged Data'!A71</f>
        <v>D4</v>
      </c>
      <c r="B66" s="12" t="str">
        <f>'Averaged Data'!B71</f>
        <v>V3</v>
      </c>
      <c r="C66" s="12">
        <f>'Averaged Data'!C71</f>
        <v>32</v>
      </c>
      <c r="D66" s="12">
        <f>'Averaged Data'!D71</f>
        <v>8</v>
      </c>
      <c r="E66" s="12">
        <f>'Averaged Data'!E71</f>
        <v>1.2</v>
      </c>
      <c r="F66" s="12"/>
      <c r="G66" s="12"/>
      <c r="H66" s="12"/>
      <c r="I66" s="12"/>
      <c r="J66" s="12">
        <f>'Averaged Data'!J71</f>
        <v>14.10245523</v>
      </c>
      <c r="K66" s="12">
        <f>'Averaged Data'!K71</f>
        <v>2.6229831510000001</v>
      </c>
      <c r="L66" s="12">
        <f>'Averaged Data'!L71</f>
        <v>1.1938263140000001</v>
      </c>
      <c r="M66" s="12">
        <f>'Averaged Data'!M71</f>
        <v>0</v>
      </c>
      <c r="N66" s="12" t="str">
        <f>'Averaged Data'!N71</f>
        <v>set model to 12 degrees</v>
      </c>
      <c r="O66" s="12">
        <f>'Averaged Data'!O71</f>
        <v>0.78753594500000013</v>
      </c>
      <c r="P66" s="12">
        <f>'Averaged Data'!P71</f>
        <v>2.382503238</v>
      </c>
      <c r="Q66" s="12">
        <f>'Averaged Data'!Q71</f>
        <v>0.44829133563986084</v>
      </c>
      <c r="R66" s="12">
        <f>'Averaged Data'!R71</f>
        <v>2.4689206998479638</v>
      </c>
      <c r="S66" s="12"/>
      <c r="T66" s="12"/>
      <c r="U66" s="12"/>
      <c r="V66" s="12">
        <f>'Averaged Data'!V71</f>
        <v>712.61063399941338</v>
      </c>
      <c r="W66" s="12">
        <f>'Averaged Data'!W71</f>
        <v>2.2646352566006406E-2</v>
      </c>
      <c r="X66" s="12">
        <f>'Averaged Data'!X71</f>
        <v>6.8511169121810517E-2</v>
      </c>
      <c r="Y66" s="12">
        <f>'Averaged Data'!Y71</f>
        <v>1.2891047962498016E-2</v>
      </c>
      <c r="Z66" s="13">
        <f>'Averaged Data'!Z71</f>
        <v>7.0996186245528461E-2</v>
      </c>
    </row>
    <row r="67" spans="1:44">
      <c r="A67" s="6" t="str">
        <f>'Averaged Data'!A72</f>
        <v>D4</v>
      </c>
      <c r="B67" s="7" t="str">
        <f>'Averaged Data'!B72</f>
        <v>V3</v>
      </c>
      <c r="C67" s="7">
        <f>'Averaged Data'!C72</f>
        <v>33</v>
      </c>
      <c r="D67" s="7">
        <f>'Averaged Data'!D72</f>
        <v>12</v>
      </c>
      <c r="E67" s="7">
        <f>'Averaged Data'!E72</f>
        <v>0.4</v>
      </c>
      <c r="F67" s="7"/>
      <c r="G67" s="7"/>
      <c r="H67" s="7"/>
      <c r="I67" s="7"/>
      <c r="J67" s="7">
        <f>'Averaged Data'!J72</f>
        <v>14.101564379999999</v>
      </c>
      <c r="K67" s="7">
        <f>'Averaged Data'!K72</f>
        <v>2.6186283509999999</v>
      </c>
      <c r="L67" s="7">
        <f>'Averaged Data'!L72</f>
        <v>0.39940424800000002</v>
      </c>
      <c r="M67" s="7">
        <f>'Averaged Data'!M72</f>
        <v>0</v>
      </c>
      <c r="N67" s="7">
        <f>'Averaged Data'!N72</f>
        <v>0</v>
      </c>
      <c r="O67" s="7">
        <f>'Averaged Data'!O72</f>
        <v>9.3173092000000013E-2</v>
      </c>
      <c r="P67" s="7">
        <f>'Averaged Data'!P72</f>
        <v>0.49393100000000001</v>
      </c>
      <c r="Q67" s="7">
        <f>'Averaged Data'!Q72</f>
        <v>-1.1556992964556534E-2</v>
      </c>
      <c r="R67" s="7">
        <f>'Averaged Data'!R72</f>
        <v>0.50250919767448798</v>
      </c>
      <c r="S67" s="7"/>
      <c r="T67" s="7"/>
      <c r="U67" s="7"/>
      <c r="V67" s="7">
        <f>'Averaged Data'!V72</f>
        <v>79.761876660222754</v>
      </c>
      <c r="W67" s="7">
        <f>'Averaged Data'!W72</f>
        <v>2.3937308800600323E-2</v>
      </c>
      <c r="X67" s="7">
        <f>'Averaged Data'!X72</f>
        <v>0.12689692506060996</v>
      </c>
      <c r="Y67" s="7">
        <f>'Averaged Data'!Y72</f>
        <v>-2.9691330775944956E-3</v>
      </c>
      <c r="Z67" s="8">
        <f>'Averaged Data'!Z72</f>
        <v>0.1291007691348928</v>
      </c>
    </row>
    <row r="68" spans="1:44">
      <c r="A68" s="9" t="str">
        <f>'Averaged Data'!A73</f>
        <v>D4</v>
      </c>
      <c r="B68" t="str">
        <f>'Averaged Data'!B73</f>
        <v>V3</v>
      </c>
      <c r="C68">
        <f>'Averaged Data'!C73</f>
        <v>34</v>
      </c>
      <c r="D68">
        <f>'Averaged Data'!D73</f>
        <v>12</v>
      </c>
      <c r="E68">
        <f>'Averaged Data'!E73</f>
        <v>0.8</v>
      </c>
      <c r="J68">
        <f>'Averaged Data'!J73</f>
        <v>14.099620699999999</v>
      </c>
      <c r="K68">
        <f>'Averaged Data'!K73</f>
        <v>2.6196735059999998</v>
      </c>
      <c r="L68">
        <f>'Averaged Data'!L73</f>
        <v>0.80926551300000005</v>
      </c>
      <c r="M68">
        <f>'Averaged Data'!M73</f>
        <v>13.03</v>
      </c>
      <c r="N68">
        <f>'Averaged Data'!N73</f>
        <v>0</v>
      </c>
      <c r="O68">
        <f>'Averaged Data'!O73</f>
        <v>0.68920274799999992</v>
      </c>
      <c r="P68">
        <f>'Averaged Data'!P73</f>
        <v>1.8834446790000001</v>
      </c>
      <c r="Q68">
        <f>'Averaged Data'!Q73</f>
        <v>0.28255184660274357</v>
      </c>
      <c r="R68">
        <f>'Averaged Data'!R73</f>
        <v>1.9855802025316289</v>
      </c>
      <c r="V68">
        <f>'Averaged Data'!V73</f>
        <v>327.45533526557665</v>
      </c>
      <c r="W68">
        <f>'Averaged Data'!W73</f>
        <v>4.3129567944566648E-2</v>
      </c>
      <c r="X68">
        <f>'Averaged Data'!X73</f>
        <v>0.11786394567997723</v>
      </c>
      <c r="Y68">
        <f>'Averaged Data'!Y73</f>
        <v>1.7681791172886912E-2</v>
      </c>
      <c r="Z68" s="10">
        <f>'Averaged Data'!Z73</f>
        <v>0.12425547707548359</v>
      </c>
    </row>
    <row r="69" spans="1:44">
      <c r="A69" s="11" t="str">
        <f>'Averaged Data'!A74</f>
        <v>D4</v>
      </c>
      <c r="B69" s="12" t="str">
        <f>'Averaged Data'!B74</f>
        <v>V3</v>
      </c>
      <c r="C69" s="12">
        <f>'Averaged Data'!C74</f>
        <v>35</v>
      </c>
      <c r="D69" s="12">
        <f>'Averaged Data'!D74</f>
        <v>12</v>
      </c>
      <c r="E69" s="12">
        <f>'Averaged Data'!E74</f>
        <v>1.2</v>
      </c>
      <c r="F69" s="12"/>
      <c r="G69" s="12"/>
      <c r="H69" s="12"/>
      <c r="I69" s="12"/>
      <c r="J69" s="12">
        <f>'Averaged Data'!J74</f>
        <v>14.0971911</v>
      </c>
      <c r="K69" s="12">
        <f>'Averaged Data'!K74</f>
        <v>2.6201960839999998</v>
      </c>
      <c r="L69" s="12">
        <f>'Averaged Data'!L74</f>
        <v>1.1966545070000001</v>
      </c>
      <c r="M69" s="12">
        <f>'Averaged Data'!M74</f>
        <v>14</v>
      </c>
      <c r="N69" s="12" t="str">
        <f>'Averaged Data'!N74</f>
        <v>Adjust to 16 degrees</v>
      </c>
      <c r="O69" s="12">
        <f>'Averaged Data'!O74</f>
        <v>1.2342780019999999</v>
      </c>
      <c r="P69" s="12">
        <f>'Averaged Data'!P74</f>
        <v>4.3945813600000001</v>
      </c>
      <c r="Q69" s="12">
        <f>'Averaged Data'!Q74</f>
        <v>0.29362122530100698</v>
      </c>
      <c r="R69" s="12">
        <f>'Averaged Data'!R74</f>
        <v>4.5551700398484911</v>
      </c>
      <c r="S69" s="12"/>
      <c r="T69" s="12"/>
      <c r="U69" s="12"/>
      <c r="V69" s="12">
        <f>'Averaged Data'!V74</f>
        <v>715.99100456170663</v>
      </c>
      <c r="W69" s="12">
        <f>'Averaged Data'!W74</f>
        <v>3.5325279014754601E-2</v>
      </c>
      <c r="X69" s="12">
        <f>'Averaged Data'!X74</f>
        <v>0.12577378227878336</v>
      </c>
      <c r="Y69" s="12">
        <f>'Averaged Data'!Y74</f>
        <v>8.4034971794078803E-3</v>
      </c>
      <c r="Z69" s="13">
        <f>'Averaged Data'!Z74</f>
        <v>0.13036986185977475</v>
      </c>
    </row>
    <row r="70" spans="1:44">
      <c r="A70" s="6" t="str">
        <f>'Averaged Data'!A75</f>
        <v>D4</v>
      </c>
      <c r="B70" s="7" t="str">
        <f>'Averaged Data'!B75</f>
        <v>V3</v>
      </c>
      <c r="C70" s="7">
        <f>'Averaged Data'!C75</f>
        <v>36</v>
      </c>
      <c r="D70" s="7">
        <f>'Averaged Data'!D75</f>
        <v>16</v>
      </c>
      <c r="E70" s="7">
        <f>'Averaged Data'!E75</f>
        <v>0.4</v>
      </c>
      <c r="F70" s="7"/>
      <c r="G70" s="7"/>
      <c r="H70" s="7"/>
      <c r="I70" s="7"/>
      <c r="J70" s="7">
        <f>'Averaged Data'!J75</f>
        <v>14.099620699999999</v>
      </c>
      <c r="K70" s="7">
        <f>'Averaged Data'!K75</f>
        <v>2.6154057719999999</v>
      </c>
      <c r="L70" s="7">
        <f>'Averaged Data'!L75</f>
        <v>0.400806094</v>
      </c>
      <c r="M70" s="7">
        <f>'Averaged Data'!M75</f>
        <v>0</v>
      </c>
      <c r="N70" s="7">
        <f>'Averaged Data'!N75</f>
        <v>0</v>
      </c>
      <c r="O70" s="7">
        <f>'Averaged Data'!O75</f>
        <v>0.24446905000000002</v>
      </c>
      <c r="P70" s="7">
        <f>'Averaged Data'!P75</f>
        <v>0.7395220520000001</v>
      </c>
      <c r="Q70" s="7">
        <f>'Averaged Data'!Q75</f>
        <v>3.1158830625788309E-2</v>
      </c>
      <c r="R70" s="7">
        <f>'Averaged Data'!R75</f>
        <v>0.77825902441039951</v>
      </c>
      <c r="S70" s="7"/>
      <c r="T70" s="7"/>
      <c r="U70" s="7"/>
      <c r="V70" s="7">
        <f>'Averaged Data'!V75</f>
        <v>80.322762493768423</v>
      </c>
      <c r="W70" s="7">
        <f>'Averaged Data'!W75</f>
        <v>6.2368518272968056E-2</v>
      </c>
      <c r="X70" s="7">
        <f>'Averaged Data'!X75</f>
        <v>0.18866557796753755</v>
      </c>
      <c r="Y70" s="7">
        <f>'Averaged Data'!Y75</f>
        <v>7.9491866035753585E-3</v>
      </c>
      <c r="Z70" s="8">
        <f>'Averaged Data'!Z75</f>
        <v>0.19854808690524339</v>
      </c>
      <c r="AR70" t="s">
        <v>167</v>
      </c>
    </row>
    <row r="71" spans="1:44">
      <c r="A71" s="9" t="str">
        <f>'Averaged Data'!A76</f>
        <v>D4</v>
      </c>
      <c r="B71" t="str">
        <f>'Averaged Data'!B76</f>
        <v>V3</v>
      </c>
      <c r="C71">
        <f>'Averaged Data'!C76</f>
        <v>37</v>
      </c>
      <c r="D71">
        <f>'Averaged Data'!D76</f>
        <v>16</v>
      </c>
      <c r="E71">
        <f>'Averaged Data'!E76</f>
        <v>0.8</v>
      </c>
      <c r="J71">
        <f>'Averaged Data'!J76</f>
        <v>14.098648860000001</v>
      </c>
      <c r="K71">
        <f>'Averaged Data'!K76</f>
        <v>2.616276751</v>
      </c>
      <c r="L71">
        <f>'Averaged Data'!L76</f>
        <v>0.80830082800000003</v>
      </c>
      <c r="M71">
        <f>'Averaged Data'!M76</f>
        <v>0</v>
      </c>
      <c r="N71">
        <f>'Averaged Data'!N76</f>
        <v>0</v>
      </c>
      <c r="O71">
        <f>'Averaged Data'!O76</f>
        <v>0.93636077299999987</v>
      </c>
      <c r="P71">
        <f>'Averaged Data'!P76</f>
        <v>2.9859152459999998</v>
      </c>
      <c r="Q71">
        <f>'Averaged Data'!Q76</f>
        <v>7.7057961562990607E-2</v>
      </c>
      <c r="R71">
        <f>'Averaged Data'!R76</f>
        <v>3.1283419608585237</v>
      </c>
      <c r="V71">
        <f>'Averaged Data'!V76</f>
        <v>326.6751142727428</v>
      </c>
      <c r="W71">
        <f>'Averaged Data'!W76</f>
        <v>5.8736401763915161E-2</v>
      </c>
      <c r="X71">
        <f>'Averaged Data'!X76</f>
        <v>0.18730164972647309</v>
      </c>
      <c r="Y71">
        <f>'Averaged Data'!Y76</f>
        <v>4.8337217021287467E-3</v>
      </c>
      <c r="Z71" s="10">
        <f>'Averaged Data'!Z76</f>
        <v>0.19623584794052498</v>
      </c>
    </row>
    <row r="72" spans="1:44">
      <c r="A72" s="11" t="str">
        <f>'Averaged Data'!A77</f>
        <v>D4</v>
      </c>
      <c r="B72" s="12" t="str">
        <f>'Averaged Data'!B77</f>
        <v>V3</v>
      </c>
      <c r="C72" s="12">
        <f>'Averaged Data'!C77</f>
        <v>38</v>
      </c>
      <c r="D72" s="12">
        <f>'Averaged Data'!D77</f>
        <v>16</v>
      </c>
      <c r="E72" s="12">
        <f>'Averaged Data'!E77</f>
        <v>1.2</v>
      </c>
      <c r="F72" s="12"/>
      <c r="G72" s="12"/>
      <c r="H72" s="12"/>
      <c r="I72" s="12"/>
      <c r="J72" s="12">
        <f>'Averaged Data'!J77</f>
        <v>14.096381239999999</v>
      </c>
      <c r="K72" s="12">
        <f>'Averaged Data'!K77</f>
        <v>2.6194993150000001</v>
      </c>
      <c r="L72" s="12">
        <f>'Averaged Data'!L77</f>
        <v>1.1968094140000001</v>
      </c>
      <c r="M72" s="12">
        <f>'Averaged Data'!M77</f>
        <v>0</v>
      </c>
      <c r="N72" s="12" t="str">
        <f>'Averaged Data'!N77</f>
        <v>Final test of the day. Model removed 15.37pm</v>
      </c>
      <c r="O72" s="12">
        <f>'Averaged Data'!O77</f>
        <v>2.0429319759999998</v>
      </c>
      <c r="P72" s="12">
        <f>'Averaged Data'!P77</f>
        <v>6.4728617480000006</v>
      </c>
      <c r="Q72" s="12">
        <f>'Averaged Data'!Q77</f>
        <v>0.17962975914866131</v>
      </c>
      <c r="R72" s="12">
        <f>'Averaged Data'!R77</f>
        <v>6.7852224294353896</v>
      </c>
      <c r="S72" s="12"/>
      <c r="T72" s="12"/>
      <c r="U72" s="12"/>
      <c r="V72" s="12">
        <f>'Averaged Data'!V77</f>
        <v>716.17638671951181</v>
      </c>
      <c r="W72" s="12">
        <f>'Averaged Data'!W77</f>
        <v>5.8453979969504459E-2</v>
      </c>
      <c r="X72" s="12">
        <f>'Averaged Data'!X77</f>
        <v>0.1852066223486257</v>
      </c>
      <c r="Y72" s="12">
        <f>'Averaged Data'!Y77</f>
        <v>5.1397082558576387E-3</v>
      </c>
      <c r="Z72" s="13">
        <f>'Averaged Data'!Z77</f>
        <v>0.19414413237362177</v>
      </c>
    </row>
    <row r="73" spans="1:44">
      <c r="A73" s="14"/>
      <c r="B73" s="14"/>
      <c r="C73" s="14"/>
      <c r="D73" s="14">
        <v>24</v>
      </c>
      <c r="E73" s="14">
        <v>-10</v>
      </c>
      <c r="F73" s="14"/>
      <c r="G73" s="14"/>
      <c r="H73" s="14"/>
      <c r="I73" s="14"/>
      <c r="J73" s="14"/>
      <c r="K73" s="14"/>
      <c r="L73" s="14">
        <v>-10</v>
      </c>
      <c r="M73" s="14"/>
      <c r="N73" s="14"/>
      <c r="O73" s="14">
        <v>0</v>
      </c>
      <c r="P73" s="14">
        <v>0</v>
      </c>
      <c r="Q73" s="14"/>
      <c r="R73" s="14"/>
      <c r="S73" s="14"/>
      <c r="T73" s="14"/>
      <c r="U73" s="14"/>
      <c r="V73" s="14"/>
      <c r="W73" s="14">
        <v>0</v>
      </c>
      <c r="X73" s="14">
        <v>0</v>
      </c>
      <c r="Y73" s="14">
        <v>0</v>
      </c>
      <c r="Z73" s="14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31"/>
  <sheetViews>
    <sheetView topLeftCell="I1" zoomScale="62" zoomScaleNormal="62" workbookViewId="0">
      <selection activeCell="BO89" sqref="BO89"/>
    </sheetView>
  </sheetViews>
  <sheetFormatPr defaultColWidth="8.85546875" defaultRowHeight="15"/>
  <cols>
    <col min="14" max="14" width="34.85546875" customWidth="1"/>
  </cols>
  <sheetData>
    <row r="1" spans="1:30">
      <c r="A1" t="s">
        <v>86</v>
      </c>
      <c r="P1" t="s">
        <v>201</v>
      </c>
      <c r="Q1" t="s">
        <v>24</v>
      </c>
      <c r="R1" t="s">
        <v>29</v>
      </c>
    </row>
    <row r="2" spans="1:30">
      <c r="A2" t="s">
        <v>87</v>
      </c>
      <c r="M2">
        <v>0.4</v>
      </c>
      <c r="P2" t="str">
        <f t="shared" ref="P2:R5" si="0">P$1&amp;", "&amp;$M2&amp;" m/s"</f>
        <v>U, 0.4 m/s</v>
      </c>
      <c r="Q2" t="str">
        <f t="shared" si="0"/>
        <v>V1, 0.4 m/s</v>
      </c>
      <c r="R2" t="str">
        <f t="shared" si="0"/>
        <v>V2, 0.4 m/s</v>
      </c>
      <c r="AD2" t="s">
        <v>88</v>
      </c>
    </row>
    <row r="3" spans="1:30">
      <c r="M3">
        <v>0.8</v>
      </c>
      <c r="P3" t="str">
        <f t="shared" si="0"/>
        <v>U, 0.8 m/s</v>
      </c>
      <c r="Q3" t="str">
        <f t="shared" si="0"/>
        <v>V1, 0.8 m/s</v>
      </c>
      <c r="R3" t="str">
        <f t="shared" si="0"/>
        <v>V2, 0.8 m/s</v>
      </c>
      <c r="AD3" t="s">
        <v>89</v>
      </c>
    </row>
    <row r="4" spans="1:30">
      <c r="A4" t="s">
        <v>85</v>
      </c>
      <c r="M4">
        <v>1.2</v>
      </c>
      <c r="P4" t="str">
        <f t="shared" si="0"/>
        <v>U, 1.2 m/s</v>
      </c>
      <c r="Q4" t="str">
        <f t="shared" si="0"/>
        <v>V1, 1.2 m/s</v>
      </c>
      <c r="R4" t="str">
        <f t="shared" si="0"/>
        <v>V2, 1.2 m/s</v>
      </c>
      <c r="AD4" t="s">
        <v>90</v>
      </c>
    </row>
    <row r="5" spans="1:30">
      <c r="M5">
        <v>1.6</v>
      </c>
      <c r="P5" t="str">
        <f t="shared" si="0"/>
        <v>U, 1.6 m/s</v>
      </c>
      <c r="Q5" t="str">
        <f t="shared" si="0"/>
        <v>V1, 1.6 m/s</v>
      </c>
      <c r="R5" t="str">
        <f t="shared" si="0"/>
        <v>V2, 1.6 m/s</v>
      </c>
      <c r="AD5" t="s">
        <v>91</v>
      </c>
    </row>
    <row r="10" spans="1:30">
      <c r="A10">
        <f>'Averaged Data'!A10</f>
        <v>0</v>
      </c>
      <c r="B10">
        <f>'Averaged Data'!B10</f>
        <v>0</v>
      </c>
      <c r="C10">
        <f>'Averaged Data'!C10</f>
        <v>0</v>
      </c>
      <c r="D10">
        <f>'Averaged Data'!D10</f>
        <v>0</v>
      </c>
      <c r="E10">
        <f>'Averaged Data'!E10</f>
        <v>0</v>
      </c>
      <c r="J10" t="str">
        <f>'Averaged Data'!J10</f>
        <v>Measured</v>
      </c>
      <c r="K10" t="str">
        <f>'Averaged Data'!K10</f>
        <v>Measured</v>
      </c>
      <c r="L10" t="str">
        <f>'Averaged Data'!L10</f>
        <v>Measured</v>
      </c>
      <c r="M10" t="str">
        <f>'Averaged Data'!M10</f>
        <v>Time</v>
      </c>
      <c r="N10" t="str">
        <f>'Averaged Data'!N10</f>
        <v>Comment</v>
      </c>
      <c r="O10" t="str">
        <f>'Averaged Data'!O10</f>
        <v>Calc</v>
      </c>
      <c r="P10" t="str">
        <f>'Averaged Data'!P10</f>
        <v>Calc</v>
      </c>
      <c r="Q10" t="str">
        <f>'Averaged Data'!Q10</f>
        <v>Calc</v>
      </c>
      <c r="R10" t="str">
        <f>'Averaged Data'!R10</f>
        <v>Calc</v>
      </c>
      <c r="S10">
        <f>'Averaged Data'!S10</f>
        <v>0</v>
      </c>
      <c r="T10">
        <f>'Averaged Data'!T10</f>
        <v>0</v>
      </c>
      <c r="U10">
        <f>'Averaged Data'!U10</f>
        <v>0</v>
      </c>
      <c r="V10" t="str">
        <f>'Averaged Data'!V10</f>
        <v>dynamic pressure</v>
      </c>
      <c r="W10" t="str">
        <f>'Averaged Data'!W10</f>
        <v>coefts</v>
      </c>
      <c r="X10" t="str">
        <f>'Averaged Data'!X10</f>
        <v>coefts</v>
      </c>
      <c r="Y10" t="str">
        <f>'Averaged Data'!Y10</f>
        <v>coefts</v>
      </c>
      <c r="Z10" t="str">
        <f>'Averaged Data'!Z10</f>
        <v>coefts</v>
      </c>
    </row>
    <row r="11" spans="1:30">
      <c r="A11">
        <f>'Averaged Data'!A11</f>
        <v>0</v>
      </c>
      <c r="B11">
        <f>'Averaged Data'!B11</f>
        <v>0</v>
      </c>
      <c r="C11">
        <f>'Averaged Data'!C11</f>
        <v>0</v>
      </c>
      <c r="D11">
        <f>'Averaged Data'!D11</f>
        <v>0</v>
      </c>
      <c r="E11">
        <f>'Averaged Data'!E11</f>
        <v>0</v>
      </c>
      <c r="J11">
        <f>'Averaged Data'!J11</f>
        <v>0</v>
      </c>
      <c r="K11">
        <f>'Averaged Data'!K11</f>
        <v>0</v>
      </c>
      <c r="L11">
        <f>'Averaged Data'!L11</f>
        <v>0</v>
      </c>
      <c r="M11">
        <f>'Averaged Data'!M11</f>
        <v>0</v>
      </c>
      <c r="N11">
        <f>'Averaged Data'!N11</f>
        <v>0</v>
      </c>
      <c r="O11">
        <f>'Averaged Data'!O11</f>
        <v>0</v>
      </c>
      <c r="P11">
        <f>'Averaged Data'!P11</f>
        <v>0</v>
      </c>
      <c r="Q11">
        <f>'Averaged Data'!Q11</f>
        <v>0</v>
      </c>
      <c r="R11">
        <f>'Averaged Data'!R11</f>
        <v>0</v>
      </c>
      <c r="S11">
        <f>'Averaged Data'!S11</f>
        <v>0</v>
      </c>
      <c r="T11">
        <f>'Averaged Data'!T11</f>
        <v>0</v>
      </c>
      <c r="U11">
        <f>'Averaged Data'!U11</f>
        <v>0</v>
      </c>
      <c r="V11">
        <f>'Averaged Data'!V11</f>
        <v>0</v>
      </c>
      <c r="W11" t="str">
        <f>'Averaged Data'!W11</f>
        <v>Coefficients</v>
      </c>
      <c r="X11">
        <f>'Averaged Data'!X11</f>
        <v>0</v>
      </c>
      <c r="Y11">
        <f>'Averaged Data'!Y11</f>
        <v>0</v>
      </c>
      <c r="Z11">
        <f>'Averaged Data'!Z11</f>
        <v>0</v>
      </c>
    </row>
    <row r="12" spans="1:30">
      <c r="A12" t="str">
        <f>'Averaged Data'!A12</f>
        <v>Day</v>
      </c>
      <c r="B12" t="str">
        <f>'Averaged Data'!B12</f>
        <v>Model</v>
      </c>
      <c r="C12" t="str">
        <f>'Averaged Data'!C12</f>
        <v>Test</v>
      </c>
      <c r="D12" t="str">
        <f>'Averaged Data'!D12</f>
        <v>Yaw</v>
      </c>
      <c r="E12" t="str">
        <f>'Averaged Data'!E12</f>
        <v>Speed</v>
      </c>
      <c r="J12" t="str">
        <f>'Averaged Data'!J12</f>
        <v>Heave</v>
      </c>
      <c r="K12" t="str">
        <f>'Averaged Data'!K12</f>
        <v>Pitch</v>
      </c>
      <c r="L12" t="str">
        <f>'Averaged Data'!L12</f>
        <v>Velocity</v>
      </c>
      <c r="M12">
        <f>'Averaged Data'!M12</f>
        <v>0</v>
      </c>
      <c r="N12">
        <f>'Averaged Data'!N12</f>
        <v>0</v>
      </c>
      <c r="O12" t="str">
        <f>'Averaged Data'!O12</f>
        <v>Total Drag</v>
      </c>
      <c r="P12" t="str">
        <f>'Averaged Data'!P12</f>
        <v>Total Lift</v>
      </c>
      <c r="Q12" t="str">
        <f>'Averaged Data'!Q12</f>
        <v>Resistance</v>
      </c>
      <c r="R12" t="str">
        <f>'Averaged Data'!R12</f>
        <v>Sideforce</v>
      </c>
      <c r="S12">
        <f>'Averaged Data'!S12</f>
        <v>0</v>
      </c>
      <c r="T12">
        <f>'Averaged Data'!T12</f>
        <v>0</v>
      </c>
      <c r="U12">
        <f>'Averaged Data'!U12</f>
        <v>0</v>
      </c>
      <c r="V12" t="str">
        <f>'Averaged Data'!V12</f>
        <v>q [N/m2]</v>
      </c>
      <c r="W12" t="str">
        <f>'Averaged Data'!W12</f>
        <v>CD</v>
      </c>
      <c r="X12" t="str">
        <f>'Averaged Data'!X12</f>
        <v>CL</v>
      </c>
      <c r="Y12" t="str">
        <f>'Averaged Data'!Y12</f>
        <v>CR</v>
      </c>
      <c r="Z12" t="str">
        <f>'Averaged Data'!Z12</f>
        <v>CS</v>
      </c>
    </row>
    <row r="13" spans="1:30">
      <c r="A13">
        <f>'Averaged Data'!A13</f>
        <v>0</v>
      </c>
      <c r="B13" t="str">
        <f>'Averaged Data'!B13</f>
        <v>shape</v>
      </c>
      <c r="C13" t="str">
        <f>'Averaged Data'!C13</f>
        <v>number</v>
      </c>
      <c r="D13" t="str">
        <f>'Averaged Data'!D13</f>
        <v>deg</v>
      </c>
      <c r="E13" t="str">
        <f>'Averaged Data'!E13</f>
        <v>m/s</v>
      </c>
      <c r="J13" t="str">
        <f>'Averaged Data'!J13</f>
        <v>mm</v>
      </c>
      <c r="K13" t="str">
        <f>'Averaged Data'!K13</f>
        <v>deg</v>
      </c>
      <c r="L13" t="str">
        <f>'Averaged Data'!L13</f>
        <v>m/s</v>
      </c>
      <c r="M13">
        <f>'Averaged Data'!M13</f>
        <v>0</v>
      </c>
      <c r="N13">
        <f>'Averaged Data'!N13</f>
        <v>0</v>
      </c>
      <c r="O13" t="str">
        <f>'Averaged Data'!O13</f>
        <v>N</v>
      </c>
      <c r="P13" t="str">
        <f>'Averaged Data'!P13</f>
        <v>N</v>
      </c>
      <c r="Q13" t="str">
        <f>'Averaged Data'!Q13</f>
        <v>N</v>
      </c>
      <c r="R13" t="str">
        <f>'Averaged Data'!R13</f>
        <v>N</v>
      </c>
      <c r="S13">
        <f>'Averaged Data'!S13</f>
        <v>0</v>
      </c>
      <c r="T13">
        <f>'Averaged Data'!T13</f>
        <v>0</v>
      </c>
      <c r="U13">
        <f>'Averaged Data'!U13</f>
        <v>0</v>
      </c>
      <c r="V13">
        <f>'Averaged Data'!V13</f>
        <v>0</v>
      </c>
      <c r="W13">
        <f>'Averaged Data'!W13</f>
        <v>0</v>
      </c>
      <c r="X13">
        <f>'Averaged Data'!X13</f>
        <v>0</v>
      </c>
      <c r="Y13">
        <f>'Averaged Data'!Y13</f>
        <v>0</v>
      </c>
      <c r="Z13">
        <f>'Averaged Data'!Z13</f>
        <v>0</v>
      </c>
    </row>
    <row r="15" spans="1:30">
      <c r="A15" s="6" t="str">
        <f>'Averaged Data'!A17</f>
        <v>D1</v>
      </c>
      <c r="B15" s="7" t="str">
        <f>'Averaged Data'!B17</f>
        <v>V1</v>
      </c>
      <c r="C15" s="7">
        <f>'Averaged Data'!C17</f>
        <v>2</v>
      </c>
      <c r="D15" s="7">
        <f>'Averaged Data'!D17</f>
        <v>0</v>
      </c>
      <c r="E15" s="7">
        <f>'Averaged Data'!E17</f>
        <v>0.4</v>
      </c>
      <c r="F15" s="7"/>
      <c r="G15" s="7"/>
      <c r="H15" s="7"/>
      <c r="I15" s="7"/>
      <c r="J15" s="7">
        <f>'Averaged Data'!J17</f>
        <v>29.737275449999999</v>
      </c>
      <c r="K15" s="7">
        <f>'Averaged Data'!K17</f>
        <v>2.5435509289999998</v>
      </c>
      <c r="L15" s="7">
        <f>'Averaged Data'!L17</f>
        <v>0.399157333</v>
      </c>
      <c r="M15" s="7">
        <f>'Averaged Data'!M17</f>
        <v>0</v>
      </c>
      <c r="N15" s="7">
        <f>'Averaged Data'!N17</f>
        <v>0</v>
      </c>
      <c r="O15" s="7">
        <f>'Averaged Data'!O17</f>
        <v>8.2277369999999989E-3</v>
      </c>
      <c r="P15" s="7">
        <f>'Averaged Data'!P17</f>
        <v>5.1265825000000001E-2</v>
      </c>
      <c r="Q15" s="7">
        <f>'Averaged Data'!Q17</f>
        <v>8.2277369999999989E-3</v>
      </c>
      <c r="R15" s="7">
        <f>'Averaged Data'!R17</f>
        <v>5.1265825000000001E-2</v>
      </c>
      <c r="S15" s="7">
        <f>'Averaged Data'!S17</f>
        <v>0</v>
      </c>
      <c r="T15" s="7">
        <f>'Averaged Data'!T17</f>
        <v>0</v>
      </c>
      <c r="U15" s="7">
        <f>'Averaged Data'!U17</f>
        <v>0</v>
      </c>
      <c r="V15" s="7">
        <f>'Averaged Data'!V17</f>
        <v>79.663288243836448</v>
      </c>
      <c r="W15" s="7">
        <f>'Averaged Data'!W17</f>
        <v>2.1164224042161798E-3</v>
      </c>
      <c r="X15" s="7">
        <f>'Averaged Data'!X17</f>
        <v>1.3187118231978726E-2</v>
      </c>
      <c r="Y15" s="7">
        <f>'Averaged Data'!Y17</f>
        <v>2.1164224042161798E-3</v>
      </c>
      <c r="Z15" s="8">
        <f>'Averaged Data'!Z17</f>
        <v>1.3187118231978726E-2</v>
      </c>
    </row>
    <row r="16" spans="1:30">
      <c r="A16" s="9" t="str">
        <f>'Averaged Data'!A18</f>
        <v>D1</v>
      </c>
      <c r="B16" t="str">
        <f>'Averaged Data'!B18</f>
        <v>V1</v>
      </c>
      <c r="C16">
        <f>'Averaged Data'!C18</f>
        <v>3</v>
      </c>
      <c r="D16">
        <f>'Averaged Data'!D18</f>
        <v>0</v>
      </c>
      <c r="E16">
        <f>'Averaged Data'!E18</f>
        <v>0.4</v>
      </c>
      <c r="J16">
        <f>'Averaged Data'!J18</f>
        <v>29.737275459999999</v>
      </c>
      <c r="K16">
        <f>'Averaged Data'!K18</f>
        <v>2.544421899</v>
      </c>
      <c r="L16">
        <f>'Averaged Data'!L18</f>
        <v>0.399166519</v>
      </c>
      <c r="M16">
        <f>'Averaged Data'!M18</f>
        <v>11.04</v>
      </c>
      <c r="N16" t="str">
        <f>'Averaged Data'!N18</f>
        <v>good run</v>
      </c>
      <c r="O16">
        <f>'Averaged Data'!O18</f>
        <v>9.9304519999999993E-2</v>
      </c>
      <c r="P16">
        <f>'Averaged Data'!P18</f>
        <v>-2.7159804000000003E-2</v>
      </c>
      <c r="Q16">
        <f>'Averaged Data'!Q18</f>
        <v>9.9304519999999993E-2</v>
      </c>
      <c r="R16">
        <f>'Averaged Data'!R18</f>
        <v>-2.7159804000000003E-2</v>
      </c>
      <c r="S16">
        <f>'Averaged Data'!S18</f>
        <v>0</v>
      </c>
      <c r="T16">
        <f>'Averaged Data'!T18</f>
        <v>0</v>
      </c>
      <c r="U16">
        <f>'Averaged Data'!U18</f>
        <v>0</v>
      </c>
      <c r="V16">
        <f>'Averaged Data'!V18</f>
        <v>79.66695494528868</v>
      </c>
      <c r="W16">
        <f>'Averaged Data'!W18</f>
        <v>2.5542945502587341E-2</v>
      </c>
      <c r="X16">
        <f>'Averaged Data'!X18</f>
        <v>-6.9860001683000311E-3</v>
      </c>
      <c r="Y16">
        <f>'Averaged Data'!Y18</f>
        <v>2.5542945502587341E-2</v>
      </c>
      <c r="Z16" s="10">
        <f>'Averaged Data'!Z18</f>
        <v>-6.9860001683000311E-3</v>
      </c>
    </row>
    <row r="17" spans="1:26">
      <c r="A17" s="9" t="str">
        <f>'Averaged Data'!A24</f>
        <v>D1</v>
      </c>
      <c r="B17" t="str">
        <f>'Averaged Data'!B24</f>
        <v>V1</v>
      </c>
      <c r="C17">
        <f>'Averaged Data'!C24</f>
        <v>8</v>
      </c>
      <c r="D17">
        <f>'Averaged Data'!D24</f>
        <v>4</v>
      </c>
      <c r="E17">
        <f>'Averaged Data'!E24</f>
        <v>0.4</v>
      </c>
      <c r="J17">
        <f>'Averaged Data'!J24</f>
        <v>29.715489779999999</v>
      </c>
      <c r="K17">
        <f>'Averaged Data'!K24</f>
        <v>2.54233157</v>
      </c>
      <c r="L17">
        <f>'Averaged Data'!L24</f>
        <v>0.40036896100000002</v>
      </c>
      <c r="M17">
        <f>'Averaged Data'!M24</f>
        <v>13.25</v>
      </c>
      <c r="N17">
        <f>'Averaged Data'!N24</f>
        <v>0</v>
      </c>
      <c r="O17">
        <f>'Averaged Data'!O24</f>
        <v>5.9672465000000001E-2</v>
      </c>
      <c r="P17">
        <f>'Averaged Data'!P24</f>
        <v>3.5489809999999997E-2</v>
      </c>
      <c r="Q17">
        <f>'Averaged Data'!Q24</f>
        <v>5.7051461874938605E-2</v>
      </c>
      <c r="R17">
        <f>'Averaged Data'!R24</f>
        <v>3.9565899344571345E-2</v>
      </c>
      <c r="S17">
        <f>'Averaged Data'!S24</f>
        <v>0</v>
      </c>
      <c r="T17">
        <f>'Averaged Data'!T24</f>
        <v>0</v>
      </c>
      <c r="U17">
        <f>'Averaged Data'!U24</f>
        <v>0</v>
      </c>
      <c r="V17">
        <f>'Averaged Data'!V24</f>
        <v>80.147652466109776</v>
      </c>
      <c r="W17">
        <f>'Averaged Data'!W24</f>
        <v>1.5256796379051557E-2</v>
      </c>
      <c r="X17">
        <f>'Averaged Data'!X24</f>
        <v>9.0738803014292716E-3</v>
      </c>
      <c r="Y17">
        <f>'Averaged Data'!Y24</f>
        <v>1.4586669696872105E-2</v>
      </c>
      <c r="Z17" s="10">
        <f>'Averaged Data'!Z24</f>
        <v>1.0116037101101396E-2</v>
      </c>
    </row>
    <row r="18" spans="1:26">
      <c r="A18" s="9" t="str">
        <f>'Averaged Data'!A32</f>
        <v>D2</v>
      </c>
      <c r="B18" t="str">
        <f>'Averaged Data'!B32</f>
        <v>V1</v>
      </c>
      <c r="C18">
        <f>'Averaged Data'!C32</f>
        <v>2</v>
      </c>
      <c r="D18">
        <f>'Averaged Data'!D32</f>
        <v>16</v>
      </c>
      <c r="E18">
        <f>'Averaged Data'!E32</f>
        <v>0.4</v>
      </c>
      <c r="J18">
        <f>'Averaged Data'!J32</f>
        <v>29.721965709999999</v>
      </c>
      <c r="K18">
        <f>'Averaged Data'!K32</f>
        <v>2.5239516480000002</v>
      </c>
      <c r="L18">
        <f>'Averaged Data'!L32</f>
        <v>0.399162872</v>
      </c>
      <c r="M18">
        <f>'Averaged Data'!M32</f>
        <v>0</v>
      </c>
      <c r="N18" t="str">
        <f>'Averaged Data'!N32</f>
        <v>Data recorded for only 5 sec, not 10 sec. Video + photo</v>
      </c>
      <c r="O18">
        <f>'Averaged Data'!O32</f>
        <v>0.11927837500000001</v>
      </c>
      <c r="P18">
        <f>'Averaged Data'!P32</f>
        <v>0.29648214899999997</v>
      </c>
      <c r="Q18">
        <f>'Averaged Data'!Q32</f>
        <v>3.2936177443965223E-2</v>
      </c>
      <c r="R18">
        <f>'Averaged Data'!R32</f>
        <v>0.31787450925432581</v>
      </c>
      <c r="S18">
        <f>'Averaged Data'!S32</f>
        <v>0</v>
      </c>
      <c r="T18">
        <f>'Averaged Data'!T32</f>
        <v>0</v>
      </c>
      <c r="U18">
        <f>'Averaged Data'!U32</f>
        <v>0</v>
      </c>
      <c r="V18">
        <f>'Averaged Data'!V32</f>
        <v>79.665499191644187</v>
      </c>
      <c r="W18">
        <f>'Averaged Data'!W32</f>
        <v>3.0681148310158401E-2</v>
      </c>
      <c r="X18">
        <f>'Averaged Data'!X32</f>
        <v>7.626204485753163E-2</v>
      </c>
      <c r="Y18">
        <f>'Averaged Data'!Y32</f>
        <v>8.471944264230551E-3</v>
      </c>
      <c r="Z18" s="10">
        <f>'Averaged Data'!Z32</f>
        <v>8.1764653169116269E-2</v>
      </c>
    </row>
    <row r="19" spans="1:26">
      <c r="A19" s="11" t="str">
        <f>'Averaged Data'!A35</f>
        <v>D2</v>
      </c>
      <c r="B19" s="12" t="str">
        <f>'Averaged Data'!B35</f>
        <v>V1</v>
      </c>
      <c r="C19" s="12">
        <f>'Averaged Data'!C35</f>
        <v>5</v>
      </c>
      <c r="D19" s="12">
        <f>'Averaged Data'!D35</f>
        <v>24</v>
      </c>
      <c r="E19" s="12">
        <f>'Averaged Data'!E35</f>
        <v>0.4</v>
      </c>
      <c r="F19" s="12"/>
      <c r="G19" s="12"/>
      <c r="H19" s="12"/>
      <c r="I19" s="12"/>
      <c r="J19" s="12">
        <f>'Averaged Data'!J35</f>
        <v>29.71451793</v>
      </c>
      <c r="K19" s="12">
        <f>'Averaged Data'!K35</f>
        <v>2.528396071</v>
      </c>
      <c r="L19" s="12">
        <f>'Averaged Data'!L35</f>
        <v>0.40077541500000002</v>
      </c>
      <c r="M19" s="12">
        <f>'Averaged Data'!M35</f>
        <v>11.36</v>
      </c>
      <c r="N19" s="12">
        <f>'Averaged Data'!N35</f>
        <v>0</v>
      </c>
      <c r="O19" s="12">
        <f>'Averaged Data'!O35</f>
        <v>0.306835264</v>
      </c>
      <c r="P19" s="12">
        <f>'Averaged Data'!P35</f>
        <v>0.56107661600000003</v>
      </c>
      <c r="Q19" s="12">
        <f>'Averaged Data'!Q35</f>
        <v>5.2097542371598415E-2</v>
      </c>
      <c r="R19" s="12">
        <f>'Averaged Data'!R35</f>
        <v>0.63737013919291874</v>
      </c>
      <c r="S19" s="12">
        <f>'Averaged Data'!S35</f>
        <v>0</v>
      </c>
      <c r="T19" s="12">
        <f>'Averaged Data'!T35</f>
        <v>0</v>
      </c>
      <c r="U19" s="12">
        <f>'Averaged Data'!U35</f>
        <v>0</v>
      </c>
      <c r="V19" s="12">
        <f>'Averaged Data'!V35</f>
        <v>80.310466634211124</v>
      </c>
      <c r="W19" s="12">
        <f>'Averaged Data'!W35</f>
        <v>7.8291263049068457E-2</v>
      </c>
      <c r="X19" s="12">
        <f>'Averaged Data'!X35</f>
        <v>0.14316280456583105</v>
      </c>
      <c r="Y19" s="12">
        <f>'Averaged Data'!Y35</f>
        <v>1.3293069189155524E-2</v>
      </c>
      <c r="Z19" s="13">
        <f>'Averaged Data'!Z35</f>
        <v>0.16262965532923288</v>
      </c>
    </row>
    <row r="20" spans="1:26">
      <c r="A20" s="6" t="str">
        <f>'Averaged Data'!A19</f>
        <v>D1</v>
      </c>
      <c r="B20" s="7" t="str">
        <f>'Averaged Data'!B19</f>
        <v>V1</v>
      </c>
      <c r="C20" s="7">
        <f>'Averaged Data'!C19</f>
        <v>4</v>
      </c>
      <c r="D20" s="7">
        <f>'Averaged Data'!D19</f>
        <v>0</v>
      </c>
      <c r="E20" s="7">
        <f>'Averaged Data'!E19</f>
        <v>0.8</v>
      </c>
      <c r="F20" s="7"/>
      <c r="G20" s="7"/>
      <c r="H20" s="7"/>
      <c r="I20" s="7"/>
      <c r="J20" s="7">
        <f>'Averaged Data'!J19</f>
        <v>29.727556939999999</v>
      </c>
      <c r="K20" s="7">
        <f>'Averaged Data'!K19</f>
        <v>2.5452928610000001</v>
      </c>
      <c r="L20" s="7">
        <f>'Averaged Data'!L19</f>
        <v>0.80495266099999996</v>
      </c>
      <c r="M20" s="7">
        <f>'Averaged Data'!M19</f>
        <v>11.27</v>
      </c>
      <c r="N20" s="7">
        <f>'Averaged Data'!N19</f>
        <v>0</v>
      </c>
      <c r="O20" s="7">
        <f>'Averaged Data'!O19</f>
        <v>0.51653595299999999</v>
      </c>
      <c r="P20" s="7">
        <f>'Averaged Data'!P19</f>
        <v>-3.4391373000000003E-2</v>
      </c>
      <c r="Q20" s="7">
        <f>'Averaged Data'!Q19</f>
        <v>0.51653595299999999</v>
      </c>
      <c r="R20" s="7">
        <f>'Averaged Data'!R19</f>
        <v>-3.4391373000000003E-2</v>
      </c>
      <c r="S20" s="7">
        <f>'Averaged Data'!S19</f>
        <v>0</v>
      </c>
      <c r="T20" s="7">
        <f>'Averaged Data'!T19</f>
        <v>0</v>
      </c>
      <c r="U20" s="7">
        <f>'Averaged Data'!U19</f>
        <v>0</v>
      </c>
      <c r="V20" s="7">
        <f>'Averaged Data'!V19</f>
        <v>323.97439322549042</v>
      </c>
      <c r="W20" s="7">
        <f>'Averaged Data'!W19</f>
        <v>3.2671573298939015E-2</v>
      </c>
      <c r="X20" s="7">
        <f>'Averaged Data'!X19</f>
        <v>-2.1752992357932772E-3</v>
      </c>
      <c r="Y20" s="7">
        <f>'Averaged Data'!Y19</f>
        <v>3.2671573298939015E-2</v>
      </c>
      <c r="Z20" s="8">
        <f>'Averaged Data'!Z19</f>
        <v>-2.1752992357932772E-3</v>
      </c>
    </row>
    <row r="21" spans="1:26">
      <c r="A21" s="9" t="str">
        <f>'Averaged Data'!A25</f>
        <v>D1</v>
      </c>
      <c r="B21" t="str">
        <f>'Averaged Data'!B25</f>
        <v>V1</v>
      </c>
      <c r="C21">
        <f>'Averaged Data'!C25</f>
        <v>9</v>
      </c>
      <c r="D21">
        <f>'Averaged Data'!D25</f>
        <v>4</v>
      </c>
      <c r="E21">
        <f>'Averaged Data'!E25</f>
        <v>0.8</v>
      </c>
      <c r="J21">
        <f>'Averaged Data'!J25</f>
        <v>29.712574230000001</v>
      </c>
      <c r="K21">
        <f>'Averaged Data'!K25</f>
        <v>2.5452928620000002</v>
      </c>
      <c r="L21">
        <f>'Averaged Data'!L25</f>
        <v>0.80652782099999998</v>
      </c>
      <c r="M21">
        <f>'Averaged Data'!M25</f>
        <v>13.4</v>
      </c>
      <c r="N21">
        <f>'Averaged Data'!N25</f>
        <v>0</v>
      </c>
      <c r="O21">
        <f>'Averaged Data'!O25</f>
        <v>0.54670943900000002</v>
      </c>
      <c r="P21">
        <f>'Averaged Data'!P25</f>
        <v>5.7243871000000002E-2</v>
      </c>
      <c r="Q21">
        <f>'Averaged Data'!Q25</f>
        <v>0.54138455169969268</v>
      </c>
      <c r="R21">
        <f>'Averaged Data'!R25</f>
        <v>9.5240950434579863E-2</v>
      </c>
      <c r="S21">
        <f>'Averaged Data'!S25</f>
        <v>0</v>
      </c>
      <c r="T21">
        <f>'Averaged Data'!T25</f>
        <v>0</v>
      </c>
      <c r="U21">
        <f>'Averaged Data'!U25</f>
        <v>0</v>
      </c>
      <c r="V21">
        <f>'Averaged Data'!V25</f>
        <v>325.24356302350401</v>
      </c>
      <c r="W21">
        <f>'Averaged Data'!W25</f>
        <v>3.4445146801508147E-2</v>
      </c>
      <c r="X21">
        <f>'Averaged Data'!X25</f>
        <v>3.6066206277473745E-3</v>
      </c>
      <c r="Y21">
        <f>'Averaged Data'!Y25</f>
        <v>3.4109655017982216E-2</v>
      </c>
      <c r="Z21" s="10">
        <f>'Averaged Data'!Z25</f>
        <v>6.0006070596382455E-3</v>
      </c>
    </row>
    <row r="22" spans="1:26">
      <c r="A22" s="9" t="str">
        <f>'Averaged Data'!A29</f>
        <v>D1</v>
      </c>
      <c r="B22" t="str">
        <f>'Averaged Data'!B29</f>
        <v>V1</v>
      </c>
      <c r="C22">
        <f>'Averaged Data'!C29</f>
        <v>13</v>
      </c>
      <c r="D22">
        <f>'Averaged Data'!D29</f>
        <v>8</v>
      </c>
      <c r="E22">
        <f>'Averaged Data'!E29</f>
        <v>0.8</v>
      </c>
      <c r="J22">
        <f>'Averaged Data'!J29</f>
        <v>29.7107925</v>
      </c>
      <c r="K22">
        <f>'Averaged Data'!K29</f>
        <v>2.5373670420000001</v>
      </c>
      <c r="L22">
        <f>'Averaged Data'!L29</f>
        <v>0.80848332000000001</v>
      </c>
      <c r="M22">
        <f>'Averaged Data'!M29</f>
        <v>15.53</v>
      </c>
      <c r="N22" t="str">
        <f>'Averaged Data'!N29</f>
        <v>photographed</v>
      </c>
      <c r="O22">
        <f>'Averaged Data'!O29</f>
        <v>0.60233237300000009</v>
      </c>
      <c r="P22">
        <f>'Averaged Data'!P29</f>
        <v>0.21815929199999995</v>
      </c>
      <c r="Q22">
        <f>'Averaged Data'!Q29</f>
        <v>0.5661086105803449</v>
      </c>
      <c r="R22">
        <f>'Averaged Data'!R29</f>
        <v>0.29986464492591308</v>
      </c>
      <c r="S22">
        <f>'Averaged Data'!S29</f>
        <v>0</v>
      </c>
      <c r="T22">
        <f>'Averaged Data'!T29</f>
        <v>0</v>
      </c>
      <c r="U22">
        <f>'Averaged Data'!U29</f>
        <v>0</v>
      </c>
      <c r="V22">
        <f>'Averaged Data'!V29</f>
        <v>326.82263935911124</v>
      </c>
      <c r="W22">
        <f>'Averaged Data'!W29</f>
        <v>3.7766283633550071E-2</v>
      </c>
      <c r="X22">
        <f>'Averaged Data'!X29</f>
        <v>1.3678603489184316E-2</v>
      </c>
      <c r="Y22">
        <f>'Averaged Data'!Y29</f>
        <v>3.5495051092949058E-2</v>
      </c>
      <c r="Z22" s="10">
        <f>'Averaged Data'!Z29</f>
        <v>1.8801535065334791E-2</v>
      </c>
    </row>
    <row r="23" spans="1:26">
      <c r="A23" s="9" t="str">
        <f>'Averaged Data'!A33</f>
        <v>D2</v>
      </c>
      <c r="B23" t="str">
        <f>'Averaged Data'!B33</f>
        <v>V1</v>
      </c>
      <c r="C23">
        <f>'Averaged Data'!C33</f>
        <v>3</v>
      </c>
      <c r="D23">
        <f>'Averaged Data'!D33</f>
        <v>16</v>
      </c>
      <c r="E23">
        <f>'Averaged Data'!E33</f>
        <v>0.8</v>
      </c>
      <c r="J23">
        <f>'Averaged Data'!J33</f>
        <v>29.718081389999998</v>
      </c>
      <c r="K23">
        <f>'Averaged Data'!K33</f>
        <v>2.5276122019999998</v>
      </c>
      <c r="L23">
        <f>'Averaged Data'!L33</f>
        <v>0.808770145</v>
      </c>
      <c r="M23">
        <f>'Averaged Data'!M33</f>
        <v>10.35</v>
      </c>
      <c r="N23" t="str">
        <f>'Averaged Data'!N33</f>
        <v>Data recorded for 10 sec. Ran again to check recording was working properly. Seemed ok</v>
      </c>
      <c r="O23">
        <f>'Averaged Data'!O33</f>
        <v>0.48797140699999986</v>
      </c>
      <c r="P23">
        <f>'Averaged Data'!P33</f>
        <v>0.74368450399999997</v>
      </c>
      <c r="Q23">
        <f>'Averaged Data'!Q33</f>
        <v>0.26408099201759094</v>
      </c>
      <c r="R23">
        <f>'Averaged Data'!R33</f>
        <v>0.84937857589786803</v>
      </c>
      <c r="S23">
        <f>'Averaged Data'!S33</f>
        <v>0</v>
      </c>
      <c r="T23">
        <f>'Averaged Data'!T33</f>
        <v>0</v>
      </c>
      <c r="U23">
        <f>'Averaged Data'!U33</f>
        <v>0</v>
      </c>
      <c r="V23">
        <f>'Averaged Data'!V33</f>
        <v>327.05457372166052</v>
      </c>
      <c r="W23">
        <f>'Averaged Data'!W33</f>
        <v>3.0574145360764287E-2</v>
      </c>
      <c r="X23">
        <f>'Averaged Data'!X33</f>
        <v>4.6596005015195278E-2</v>
      </c>
      <c r="Y23">
        <f>'Averaged Data'!Y33</f>
        <v>1.6546155207328904E-2</v>
      </c>
      <c r="Z23" s="10">
        <f>'Averaged Data'!Z33</f>
        <v>5.3218331388462659E-2</v>
      </c>
    </row>
    <row r="24" spans="1:26">
      <c r="A24" s="11" t="str">
        <f>'Averaged Data'!A36</f>
        <v>D2</v>
      </c>
      <c r="B24" s="12" t="str">
        <f>'Averaged Data'!B36</f>
        <v>V1</v>
      </c>
      <c r="C24" s="12">
        <f>'Averaged Data'!C36</f>
        <v>6</v>
      </c>
      <c r="D24" s="12">
        <f>'Averaged Data'!D36</f>
        <v>24</v>
      </c>
      <c r="E24" s="12">
        <f>'Averaged Data'!E36</f>
        <v>0.8</v>
      </c>
      <c r="F24" s="12"/>
      <c r="G24" s="12"/>
      <c r="H24" s="12"/>
      <c r="I24" s="12"/>
      <c r="J24" s="12">
        <f>'Averaged Data'!J36</f>
        <v>29.712007310000001</v>
      </c>
      <c r="K24" s="12">
        <f>'Averaged Data'!K36</f>
        <v>2.5250863940000001</v>
      </c>
      <c r="L24" s="12">
        <f>'Averaged Data'!L36</f>
        <v>0.80715357399999998</v>
      </c>
      <c r="M24" s="12">
        <f>'Averaged Data'!M36</f>
        <v>12.04</v>
      </c>
      <c r="N24" s="12">
        <f>'Averaged Data'!N36</f>
        <v>0</v>
      </c>
      <c r="O24" s="12">
        <f>'Averaged Data'!O36</f>
        <v>1.0403195900000002</v>
      </c>
      <c r="P24" s="12">
        <f>'Averaged Data'!P36</f>
        <v>1.2743562690000001</v>
      </c>
      <c r="Q24" s="12">
        <f>'Averaged Data'!Q36</f>
        <v>0.43205184500545157</v>
      </c>
      <c r="R24" s="12">
        <f>'Averaged Data'!R36</f>
        <v>1.5873184787259154</v>
      </c>
      <c r="S24" s="12">
        <f>'Averaged Data'!S36</f>
        <v>0</v>
      </c>
      <c r="T24" s="12">
        <f>'Averaged Data'!T36</f>
        <v>0</v>
      </c>
      <c r="U24" s="12">
        <f>'Averaged Data'!U36</f>
        <v>0</v>
      </c>
      <c r="V24" s="12">
        <f>'Averaged Data'!V36</f>
        <v>325.74844601048676</v>
      </c>
      <c r="W24" s="12">
        <f>'Averaged Data'!W36</f>
        <v>6.5443211307168042E-2</v>
      </c>
      <c r="X24" s="12">
        <f>'Averaged Data'!X36</f>
        <v>8.0165717722167726E-2</v>
      </c>
      <c r="Y24" s="12">
        <f>'Averaged Data'!Y36</f>
        <v>2.7179013507131568E-2</v>
      </c>
      <c r="Z24" s="13">
        <f>'Averaged Data'!Z36</f>
        <v>9.9853179362923053E-2</v>
      </c>
    </row>
    <row r="25" spans="1:26">
      <c r="A25" s="6" t="str">
        <f>'Averaged Data'!A20</f>
        <v>D1</v>
      </c>
      <c r="B25" s="7" t="str">
        <f>'Averaged Data'!B20</f>
        <v>V1</v>
      </c>
      <c r="C25" s="7">
        <f>'Averaged Data'!C20</f>
        <v>5</v>
      </c>
      <c r="D25" s="7">
        <f>'Averaged Data'!D20</f>
        <v>0</v>
      </c>
      <c r="E25" s="7">
        <f>'Averaged Data'!E20</f>
        <v>1.2</v>
      </c>
      <c r="F25" s="7"/>
      <c r="G25" s="7"/>
      <c r="H25" s="7"/>
      <c r="I25" s="7"/>
      <c r="J25" s="7">
        <f>'Averaged Data'!J20</f>
        <v>29.725532250000001</v>
      </c>
      <c r="K25" s="7">
        <f>'Averaged Data'!K20</f>
        <v>2.544247704</v>
      </c>
      <c r="L25" s="7">
        <f>'Averaged Data'!L20</f>
        <v>1.1953707760000001</v>
      </c>
      <c r="M25" s="7">
        <f>'Averaged Data'!M20</f>
        <v>11.5</v>
      </c>
      <c r="N25" s="7" t="str">
        <f>'Averaged Data'!N20</f>
        <v>Originally didn't change file name before run. Recovered</v>
      </c>
      <c r="O25" s="7">
        <f>'Averaged Data'!O20</f>
        <v>1.6150736499999998</v>
      </c>
      <c r="P25" s="7">
        <f>'Averaged Data'!P20</f>
        <v>-0.18980650200000002</v>
      </c>
      <c r="Q25" s="7">
        <f>'Averaged Data'!Q20</f>
        <v>1.6150736499999998</v>
      </c>
      <c r="R25" s="7">
        <f>'Averaged Data'!R20</f>
        <v>-0.18980650200000002</v>
      </c>
      <c r="S25" s="7">
        <f>'Averaged Data'!S20</f>
        <v>0</v>
      </c>
      <c r="T25" s="7">
        <f>'Averaged Data'!T20</f>
        <v>0</v>
      </c>
      <c r="U25" s="7">
        <f>'Averaged Data'!U20</f>
        <v>0</v>
      </c>
      <c r="V25" s="7">
        <f>'Averaged Data'!V20</f>
        <v>714.45564605742118</v>
      </c>
      <c r="W25" s="7">
        <f>'Averaged Data'!W20</f>
        <v>4.6323059659512451E-2</v>
      </c>
      <c r="X25" s="7">
        <f>'Averaged Data'!X20</f>
        <v>-5.4439733543478787E-3</v>
      </c>
      <c r="Y25" s="7">
        <f>'Averaged Data'!Y20</f>
        <v>4.6323059659512451E-2</v>
      </c>
      <c r="Z25" s="8">
        <f>'Averaged Data'!Z20</f>
        <v>-5.4439733543478787E-3</v>
      </c>
    </row>
    <row r="26" spans="1:26">
      <c r="A26" s="9" t="str">
        <f>'Averaged Data'!A27</f>
        <v>D1</v>
      </c>
      <c r="B26" t="str">
        <f>'Averaged Data'!B27</f>
        <v>V1</v>
      </c>
      <c r="C26">
        <f>'Averaged Data'!C27</f>
        <v>11</v>
      </c>
      <c r="D26">
        <f>'Averaged Data'!D27</f>
        <v>4</v>
      </c>
      <c r="E26">
        <f>'Averaged Data'!E27</f>
        <v>1.2</v>
      </c>
      <c r="J26">
        <f>'Averaged Data'!J27</f>
        <v>29.710549539999999</v>
      </c>
      <c r="K26">
        <f>'Averaged Data'!K27</f>
        <v>2.544073504</v>
      </c>
      <c r="L26">
        <f>'Averaged Data'!L27</f>
        <v>1.1985547809999999</v>
      </c>
      <c r="M26">
        <f>'Averaged Data'!M27</f>
        <v>15.14</v>
      </c>
      <c r="N26" t="str">
        <f>'Averaged Data'!N27</f>
        <v>After set to 8deg</v>
      </c>
      <c r="O26">
        <f>'Averaged Data'!O27</f>
        <v>1.737280025</v>
      </c>
      <c r="P26">
        <f>'Averaged Data'!P27</f>
        <v>0.24324865299999993</v>
      </c>
      <c r="Q26">
        <f>'Averaged Data'!Q27</f>
        <v>1.7160799298982004</v>
      </c>
      <c r="R26">
        <f>'Averaged Data'!R27</f>
        <v>0.36384263995703231</v>
      </c>
      <c r="S26">
        <f>'Averaged Data'!S27</f>
        <v>0</v>
      </c>
      <c r="T26">
        <f>'Averaged Data'!T27</f>
        <v>0</v>
      </c>
      <c r="U26">
        <f>'Averaged Data'!U27</f>
        <v>0</v>
      </c>
      <c r="V26">
        <f>'Averaged Data'!V27</f>
        <v>718.26678152897887</v>
      </c>
      <c r="W26">
        <f>'Averaged Data'!W27</f>
        <v>4.9563757405727639E-2</v>
      </c>
      <c r="X26">
        <f>'Averaged Data'!X27</f>
        <v>6.9397662167686629E-3</v>
      </c>
      <c r="Y26">
        <f>'Averaged Data'!Y27</f>
        <v>4.8958928963862627E-2</v>
      </c>
      <c r="Z26" s="10">
        <f>'Averaged Data'!Z27</f>
        <v>1.038025423718888E-2</v>
      </c>
    </row>
    <row r="27" spans="1:26">
      <c r="A27" s="9" t="str">
        <f>'Averaged Data'!A30</f>
        <v>D1</v>
      </c>
      <c r="B27" t="str">
        <f>'Averaged Data'!B30</f>
        <v>V1</v>
      </c>
      <c r="C27">
        <f>'Averaged Data'!C30</f>
        <v>14</v>
      </c>
      <c r="D27">
        <f>'Averaged Data'!D30</f>
        <v>8</v>
      </c>
      <c r="E27">
        <f>'Averaged Data'!E30</f>
        <v>1.2</v>
      </c>
      <c r="J27">
        <f>'Averaged Data'!J30</f>
        <v>29.711440410000002</v>
      </c>
      <c r="K27">
        <f>'Averaged Data'!K30</f>
        <v>2.542070281</v>
      </c>
      <c r="L27">
        <f>'Averaged Data'!L30</f>
        <v>1.1940425610000001</v>
      </c>
      <c r="M27">
        <f>'Averaged Data'!M30</f>
        <v>14.29</v>
      </c>
      <c r="N27" t="str">
        <f>'Averaged Data'!N30</f>
        <v>photo again. Strange time. Probably 16.29</v>
      </c>
      <c r="O27">
        <f>'Averaged Data'!O30</f>
        <v>1.8254384689999998</v>
      </c>
      <c r="P27">
        <f>'Averaged Data'!P30</f>
        <v>0.97098647100000002</v>
      </c>
      <c r="Q27">
        <f>'Averaged Data'!Q30</f>
        <v>1.6725382291438582</v>
      </c>
      <c r="R27">
        <f>'Averaged Data'!R30</f>
        <v>1.215588829753887</v>
      </c>
      <c r="S27">
        <f>'Averaged Data'!S30</f>
        <v>0</v>
      </c>
      <c r="T27">
        <f>'Averaged Data'!T30</f>
        <v>0</v>
      </c>
      <c r="U27">
        <f>'Averaged Data'!U30</f>
        <v>0</v>
      </c>
      <c r="V27">
        <f>'Averaged Data'!V30</f>
        <v>712.86881873971936</v>
      </c>
      <c r="W27">
        <f>'Averaged Data'!W30</f>
        <v>5.2473225116269423E-2</v>
      </c>
      <c r="X27">
        <f>'Averaged Data'!X30</f>
        <v>2.7911536073602389E-2</v>
      </c>
      <c r="Y27">
        <f>'Averaged Data'!Y30</f>
        <v>4.8078024268607814E-2</v>
      </c>
      <c r="Z27" s="10">
        <f>'Averaged Data'!Z30</f>
        <v>3.4942764380023715E-2</v>
      </c>
    </row>
    <row r="28" spans="1:26">
      <c r="A28" s="9" t="str">
        <f>'Averaged Data'!A34</f>
        <v>D2</v>
      </c>
      <c r="B28" t="str">
        <f>'Averaged Data'!B34</f>
        <v>V1</v>
      </c>
      <c r="C28">
        <f>'Averaged Data'!C34</f>
        <v>4</v>
      </c>
      <c r="D28">
        <f>'Averaged Data'!D34</f>
        <v>16</v>
      </c>
      <c r="E28">
        <f>'Averaged Data'!E34</f>
        <v>1.2</v>
      </c>
      <c r="J28">
        <f>'Averaged Data'!J34</f>
        <v>29.717028549999998</v>
      </c>
      <c r="K28">
        <f>'Averaged Data'!K34</f>
        <v>2.528221877</v>
      </c>
      <c r="L28">
        <f>'Averaged Data'!L34</f>
        <v>1.1962005280000001</v>
      </c>
      <c r="M28">
        <f>'Averaged Data'!M34</f>
        <v>11.05</v>
      </c>
      <c r="N28">
        <f>'Averaged Data'!N34</f>
        <v>0</v>
      </c>
      <c r="O28">
        <f>'Averaged Data'!O34</f>
        <v>2.0054195400000001</v>
      </c>
      <c r="P28">
        <f>'Averaged Data'!P34</f>
        <v>2.0887670209999998</v>
      </c>
      <c r="Q28">
        <f>'Averaged Data'!Q34</f>
        <v>1.351990769502053</v>
      </c>
      <c r="R28">
        <f>'Averaged Data'!R34</f>
        <v>2.5606202683358328</v>
      </c>
      <c r="S28">
        <f>'Averaged Data'!S34</f>
        <v>0</v>
      </c>
      <c r="T28">
        <f>'Averaged Data'!T34</f>
        <v>0</v>
      </c>
      <c r="U28">
        <f>'Averaged Data'!U34</f>
        <v>0</v>
      </c>
      <c r="V28">
        <f>'Averaged Data'!V34</f>
        <v>715.44785159373941</v>
      </c>
      <c r="W28">
        <f>'Averaged Data'!W34</f>
        <v>5.7439074858321421E-2</v>
      </c>
      <c r="X28">
        <f>'Averaged Data'!X34</f>
        <v>5.9826307108193436E-2</v>
      </c>
      <c r="Y28">
        <f>'Averaged Data'!Y34</f>
        <v>3.8723617411839918E-2</v>
      </c>
      <c r="Z28" s="10">
        <f>'Averaged Data'!Z34</f>
        <v>7.3341092147071116E-2</v>
      </c>
    </row>
    <row r="29" spans="1:26">
      <c r="A29" s="11" t="str">
        <f>'Averaged Data'!A37</f>
        <v>D2</v>
      </c>
      <c r="B29" s="12" t="str">
        <f>'Averaged Data'!B37</f>
        <v>V1</v>
      </c>
      <c r="C29" s="12">
        <f>'Averaged Data'!C37</f>
        <v>7</v>
      </c>
      <c r="D29" s="12">
        <f>'Averaged Data'!D37</f>
        <v>24</v>
      </c>
      <c r="E29" s="12">
        <f>'Averaged Data'!E37</f>
        <v>1.2</v>
      </c>
      <c r="F29" s="12"/>
      <c r="G29" s="12"/>
      <c r="H29" s="12"/>
      <c r="I29" s="12"/>
      <c r="J29" s="12">
        <f>'Averaged Data'!J37</f>
        <v>29.71516583</v>
      </c>
      <c r="K29" s="12">
        <f>'Averaged Data'!K37</f>
        <v>2.5304863960000001</v>
      </c>
      <c r="L29" s="12">
        <f>'Averaged Data'!L37</f>
        <v>1.196083969</v>
      </c>
      <c r="M29" s="12">
        <f>'Averaged Data'!M37</f>
        <v>12.3</v>
      </c>
      <c r="N29" s="12" t="str">
        <f>'Averaged Data'!N37</f>
        <v>waterline well below on leeward side.</v>
      </c>
      <c r="O29" s="12">
        <f>'Averaged Data'!O37</f>
        <v>2.8111068349999999</v>
      </c>
      <c r="P29" s="12">
        <f>'Averaged Data'!P37</f>
        <v>3.239525564</v>
      </c>
      <c r="Q29" s="12">
        <f>'Averaged Data'!Q37</f>
        <v>1.2504401270027199</v>
      </c>
      <c r="R29" s="12">
        <f>'Averaged Data'!R37</f>
        <v>4.1028340213046217</v>
      </c>
      <c r="S29" s="12">
        <f>'Averaged Data'!S37</f>
        <v>0</v>
      </c>
      <c r="T29" s="12">
        <f>'Averaged Data'!T37</f>
        <v>0</v>
      </c>
      <c r="U29" s="12">
        <f>'Averaged Data'!U37</f>
        <v>0</v>
      </c>
      <c r="V29" s="12">
        <f>'Averaged Data'!V37</f>
        <v>715.3084304493965</v>
      </c>
      <c r="W29" s="12">
        <f>'Averaged Data'!W37</f>
        <v>8.0531202773615113E-2</v>
      </c>
      <c r="X29" s="12">
        <f>'Averaged Data'!X37</f>
        <v>9.2804331317701022E-2</v>
      </c>
      <c r="Y29" s="12">
        <f>'Averaged Data'!Y37</f>
        <v>3.5821992309275248E-2</v>
      </c>
      <c r="Z29" s="13">
        <f>'Averaged Data'!Z37</f>
        <v>0.11753596640384151</v>
      </c>
    </row>
    <row r="30" spans="1:26">
      <c r="A30" s="6" t="str">
        <f>'Averaged Data'!A22</f>
        <v>D1</v>
      </c>
      <c r="B30" s="7" t="str">
        <f>'Averaged Data'!B22</f>
        <v>V1</v>
      </c>
      <c r="C30" s="7">
        <f>'Averaged Data'!C22</f>
        <v>6</v>
      </c>
      <c r="D30" s="7">
        <f>'Averaged Data'!D22</f>
        <v>0</v>
      </c>
      <c r="E30" s="7">
        <f>'Averaged Data'!E22</f>
        <v>1.6</v>
      </c>
      <c r="F30" s="7"/>
      <c r="G30" s="7"/>
      <c r="H30" s="7"/>
      <c r="I30" s="7"/>
      <c r="J30" s="7">
        <f>'Averaged Data'!J22</f>
        <v>29.712470790000001</v>
      </c>
      <c r="K30" s="7">
        <f>'Averaged Data'!K22</f>
        <v>2.543700206</v>
      </c>
      <c r="L30" s="7">
        <f>'Averaged Data'!L22</f>
        <v>1.6056720010000001</v>
      </c>
      <c r="M30" s="7" t="str">
        <f>'Averaged Data'!M22</f>
        <v>~14.35</v>
      </c>
      <c r="N30" s="7" t="str">
        <f>'Averaged Data'!N22</f>
        <v>re-run of test 6 to confirm bow over the top. From now on only test to 1.2m/s.This test done after test 10</v>
      </c>
      <c r="O30" s="7">
        <f>'Averaged Data'!O22</f>
        <v>2.4866430589999999</v>
      </c>
      <c r="P30" s="7">
        <f>'Averaged Data'!P22</f>
        <v>-0.33239351500000003</v>
      </c>
      <c r="Q30" s="7">
        <f>'Averaged Data'!Q22</f>
        <v>2.4866430589999999</v>
      </c>
      <c r="R30" s="7">
        <f>'Averaged Data'!R22</f>
        <v>-0.33239351500000003</v>
      </c>
      <c r="S30" s="7">
        <f>'Averaged Data'!S22</f>
        <v>0</v>
      </c>
      <c r="T30" s="7">
        <f>'Averaged Data'!T22</f>
        <v>0</v>
      </c>
      <c r="U30" s="7">
        <f>'Averaged Data'!U22</f>
        <v>0</v>
      </c>
      <c r="V30" s="7">
        <f>'Averaged Data'!V22</f>
        <v>1289.0912873976722</v>
      </c>
      <c r="W30" s="7">
        <f>'Averaged Data'!W22</f>
        <v>3.9528465429481165E-2</v>
      </c>
      <c r="X30" s="7">
        <f>'Averaged Data'!X22</f>
        <v>-5.2838325625814038E-3</v>
      </c>
      <c r="Y30" s="7">
        <f>'Averaged Data'!Y22</f>
        <v>3.9528465429481165E-2</v>
      </c>
      <c r="Z30" s="8">
        <f>'Averaged Data'!Z22</f>
        <v>-5.2838325625814038E-3</v>
      </c>
    </row>
    <row r="31" spans="1:26">
      <c r="A31" s="11" t="str">
        <f>'Averaged Data'!A26</f>
        <v>D1</v>
      </c>
      <c r="B31" s="12" t="str">
        <f>'Averaged Data'!B26</f>
        <v>V1</v>
      </c>
      <c r="C31" s="12">
        <f>'Averaged Data'!C26</f>
        <v>10</v>
      </c>
      <c r="D31" s="12">
        <f>'Averaged Data'!D26</f>
        <v>4</v>
      </c>
      <c r="E31" s="12">
        <f>'Averaged Data'!E26</f>
        <v>1.6</v>
      </c>
      <c r="F31" s="12"/>
      <c r="G31" s="12"/>
      <c r="H31" s="12"/>
      <c r="I31" s="12"/>
      <c r="J31" s="12">
        <f>'Averaged Data'!J26</f>
        <v>29.717891980000001</v>
      </c>
      <c r="K31" s="12">
        <f>'Averaged Data'!K26</f>
        <v>2.5447602260000002</v>
      </c>
      <c r="L31" s="12">
        <f>'Averaged Data'!L26</f>
        <v>1.605772797</v>
      </c>
      <c r="M31" s="12">
        <f>'Averaged Data'!M26</f>
        <v>14.02</v>
      </c>
      <c r="N31" s="12" t="str">
        <f>'Averaged Data'!N26</f>
        <v>large (or nice) wake pattern</v>
      </c>
      <c r="O31" s="12">
        <f>'Averaged Data'!O26</f>
        <v>2.673215506</v>
      </c>
      <c r="P31" s="12">
        <f>'Averaged Data'!P26</f>
        <v>0.70147218500000008</v>
      </c>
      <c r="Q31" s="12">
        <f>'Averaged Data'!Q26</f>
        <v>2.6177714613275387</v>
      </c>
      <c r="R31" s="12">
        <f>'Averaged Data'!R26</f>
        <v>0.88623752126988631</v>
      </c>
      <c r="S31" s="12">
        <f>'Averaged Data'!S26</f>
        <v>0</v>
      </c>
      <c r="T31" s="12">
        <f>'Averaged Data'!T26</f>
        <v>0</v>
      </c>
      <c r="U31" s="12">
        <f>'Averaged Data'!U26</f>
        <v>0</v>
      </c>
      <c r="V31" s="12">
        <f>'Averaged Data'!V26</f>
        <v>1289.2531377926016</v>
      </c>
      <c r="W31" s="12">
        <f>'Averaged Data'!W26</f>
        <v>4.248894547139271E-2</v>
      </c>
      <c r="X31" s="12">
        <f>'Averaged Data'!X26</f>
        <v>1.1149424111624055E-2</v>
      </c>
      <c r="Y31" s="12">
        <f>'Averaged Data'!Y26</f>
        <v>4.1607700025406702E-2</v>
      </c>
      <c r="Z31" s="13">
        <f>'Averaged Data'!Z26</f>
        <v>1.4086143684047011E-2</v>
      </c>
    </row>
    <row r="33" spans="1:26">
      <c r="A33" s="6" t="str">
        <f>'Averaged Data'!A39</f>
        <v>D2</v>
      </c>
      <c r="B33" s="7" t="str">
        <f>'Averaged Data'!B39</f>
        <v>V2</v>
      </c>
      <c r="C33" s="7">
        <f>'Averaged Data'!C39</f>
        <v>1</v>
      </c>
      <c r="D33" s="7">
        <f>'Averaged Data'!D39</f>
        <v>0</v>
      </c>
      <c r="E33" s="7">
        <f>'Averaged Data'!E39</f>
        <v>0.4</v>
      </c>
      <c r="F33" s="7"/>
      <c r="G33" s="7"/>
      <c r="H33" s="7"/>
      <c r="I33" s="7"/>
      <c r="J33" s="7">
        <f>'Averaged Data'!J39</f>
        <v>25.708993530000001</v>
      </c>
      <c r="K33" s="7">
        <f>'Averaged Data'!K39</f>
        <v>2.5307476869999999</v>
      </c>
      <c r="L33" s="7">
        <f>'Averaged Data'!L39</f>
        <v>0.39910057999999998</v>
      </c>
      <c r="M33" s="7">
        <f>'Averaged Data'!M39</f>
        <v>13.58</v>
      </c>
      <c r="N33" s="7">
        <f>'Averaged Data'!N39</f>
        <v>0</v>
      </c>
      <c r="O33" s="7">
        <f>'Averaged Data'!O39</f>
        <v>2.7794197E-2</v>
      </c>
      <c r="P33" s="7">
        <f>'Averaged Data'!P39</f>
        <v>1.8148468000000001E-2</v>
      </c>
      <c r="Q33" s="7">
        <f>'Averaged Data'!Q39</f>
        <v>2.7794197E-2</v>
      </c>
      <c r="R33" s="7">
        <f>'Averaged Data'!R39</f>
        <v>1.8148468000000001E-2</v>
      </c>
      <c r="S33" s="7">
        <f>'Averaged Data'!S39</f>
        <v>0</v>
      </c>
      <c r="T33" s="7">
        <f>'Averaged Data'!T39</f>
        <v>0</v>
      </c>
      <c r="U33" s="7">
        <f>'Averaged Data'!U39</f>
        <v>0</v>
      </c>
      <c r="V33" s="7">
        <f>'Averaged Data'!V39</f>
        <v>79.64063647816819</v>
      </c>
      <c r="W33" s="7">
        <f>'Averaged Data'!W39</f>
        <v>7.1515402487930362E-3</v>
      </c>
      <c r="X33" s="7">
        <f>'Averaged Data'!X39</f>
        <v>4.6696617770944221E-3</v>
      </c>
      <c r="Y33" s="7">
        <f>'Averaged Data'!Y39</f>
        <v>7.1515402487930362E-3</v>
      </c>
      <c r="Z33" s="8">
        <f>'Averaged Data'!Z39</f>
        <v>4.6696617770944221E-3</v>
      </c>
    </row>
    <row r="34" spans="1:26">
      <c r="A34" s="9" t="str">
        <f>'Averaged Data'!A43</f>
        <v>D2</v>
      </c>
      <c r="B34" t="str">
        <f>'Averaged Data'!B43</f>
        <v>V2</v>
      </c>
      <c r="C34">
        <f>'Averaged Data'!C43</f>
        <v>5</v>
      </c>
      <c r="D34">
        <f>'Averaged Data'!D43</f>
        <v>8</v>
      </c>
      <c r="E34">
        <f>'Averaged Data'!E43</f>
        <v>0.4</v>
      </c>
      <c r="J34">
        <f>'Averaged Data'!J43</f>
        <v>25.70235263</v>
      </c>
      <c r="K34">
        <f>'Averaged Data'!K43</f>
        <v>2.5248251019999999</v>
      </c>
      <c r="L34">
        <f>'Averaged Data'!L43</f>
        <v>0.400327561</v>
      </c>
      <c r="M34">
        <f>'Averaged Data'!M43</f>
        <v>15.33</v>
      </c>
      <c r="N34">
        <f>'Averaged Data'!N43</f>
        <v>0</v>
      </c>
      <c r="O34">
        <f>'Averaged Data'!O43</f>
        <v>6.2739980000000001E-2</v>
      </c>
      <c r="P34">
        <f>'Averaged Data'!P43</f>
        <v>0.202492282</v>
      </c>
      <c r="Q34">
        <f>'Averaged Data'!Q43</f>
        <v>3.3947920021064712E-2</v>
      </c>
      <c r="R34">
        <f>'Averaged Data'!R43</f>
        <v>0.20925335860198593</v>
      </c>
      <c r="S34">
        <f>'Averaged Data'!S43</f>
        <v>0</v>
      </c>
      <c r="T34">
        <f>'Averaged Data'!T43</f>
        <v>0</v>
      </c>
      <c r="U34">
        <f>'Averaged Data'!U43</f>
        <v>0</v>
      </c>
      <c r="V34">
        <f>'Averaged Data'!V43</f>
        <v>80.131078048104357</v>
      </c>
      <c r="W34">
        <f>'Averaged Data'!W43</f>
        <v>1.6044403235122417E-2</v>
      </c>
      <c r="X34">
        <f>'Averaged Data'!X43</f>
        <v>5.1783054830558131E-2</v>
      </c>
      <c r="Y34">
        <f>'Averaged Data'!Y43</f>
        <v>8.6814518878018093E-3</v>
      </c>
      <c r="Z34" s="10">
        <f>'Averaged Data'!Z43</f>
        <v>5.3512055051881342E-2</v>
      </c>
    </row>
    <row r="35" spans="1:26">
      <c r="A35" s="9" t="str">
        <f>'Averaged Data'!A49</f>
        <v>D3</v>
      </c>
      <c r="B35" t="str">
        <f>'Averaged Data'!B49</f>
        <v>V2</v>
      </c>
      <c r="C35">
        <f>'Averaged Data'!C49</f>
        <v>11</v>
      </c>
      <c r="D35">
        <f>'Averaged Data'!D49</f>
        <v>16</v>
      </c>
      <c r="E35">
        <f>'Averaged Data'!E49</f>
        <v>0.4</v>
      </c>
      <c r="J35">
        <f>'Averaged Data'!J49</f>
        <v>19.027666190000001</v>
      </c>
      <c r="K35">
        <f>'Averaged Data'!K49</f>
        <v>2.5041831550000002</v>
      </c>
      <c r="L35">
        <f>'Averaged Data'!L49</f>
        <v>0.40042877900000001</v>
      </c>
      <c r="M35">
        <f>'Averaged Data'!M49</f>
        <v>0</v>
      </c>
      <c r="N35">
        <f>'Averaged Data'!N49</f>
        <v>0</v>
      </c>
      <c r="O35">
        <f>'Averaged Data'!O49</f>
        <v>0.17309189899999999</v>
      </c>
      <c r="P35">
        <f>'Averaged Data'!P49</f>
        <v>0.52700580600000002</v>
      </c>
      <c r="Q35">
        <f>'Averaged Data'!Q49</f>
        <v>2.1124125519877773E-2</v>
      </c>
      <c r="R35">
        <f>'Averaged Data'!R49</f>
        <v>0.5543010881986038</v>
      </c>
      <c r="S35">
        <f>'Averaged Data'!S49</f>
        <v>0</v>
      </c>
      <c r="T35">
        <f>'Averaged Data'!T49</f>
        <v>0</v>
      </c>
      <c r="U35">
        <f>'Averaged Data'!U49</f>
        <v>0</v>
      </c>
      <c r="V35">
        <f>'Averaged Data'!V49</f>
        <v>80.171603525715426</v>
      </c>
      <c r="W35">
        <f>'Averaged Data'!W49</f>
        <v>4.4242162903788206E-2</v>
      </c>
      <c r="X35">
        <f>'Averaged Data'!X49</f>
        <v>0.13470229892326852</v>
      </c>
      <c r="Y35">
        <f>'Averaged Data'!Y49</f>
        <v>5.3993110471940815E-3</v>
      </c>
      <c r="Z35" s="10">
        <f>'Averaged Data'!Z49</f>
        <v>0.14167895310819661</v>
      </c>
    </row>
    <row r="36" spans="1:26">
      <c r="A36" s="11" t="str">
        <f>'Averaged Data'!A53</f>
        <v>D3</v>
      </c>
      <c r="B36" s="12" t="str">
        <f>'Averaged Data'!B53</f>
        <v>V2</v>
      </c>
      <c r="C36" s="12">
        <f>'Averaged Data'!C53</f>
        <v>15</v>
      </c>
      <c r="D36" s="12">
        <f>'Averaged Data'!D53</f>
        <v>24</v>
      </c>
      <c r="E36" s="12">
        <f>'Averaged Data'!E53</f>
        <v>0.4</v>
      </c>
      <c r="F36" s="12"/>
      <c r="G36" s="12"/>
      <c r="H36" s="12"/>
      <c r="I36" s="12"/>
      <c r="J36" s="12">
        <f>'Averaged Data'!J53</f>
        <v>19.02928592</v>
      </c>
      <c r="K36" s="12">
        <f>'Averaged Data'!K53</f>
        <v>2.5114121850000002</v>
      </c>
      <c r="L36" s="12">
        <f>'Averaged Data'!L53</f>
        <v>0.40032908499999997</v>
      </c>
      <c r="M36" s="12">
        <f>'Averaged Data'!M53</f>
        <v>0</v>
      </c>
      <c r="N36" s="12">
        <f>'Averaged Data'!N53</f>
        <v>0</v>
      </c>
      <c r="O36" s="12">
        <f>'Averaged Data'!O53</f>
        <v>0.46712446199999996</v>
      </c>
      <c r="P36" s="12">
        <f>'Averaged Data'!P53</f>
        <v>0.92867773900000006</v>
      </c>
      <c r="Q36" s="12">
        <f>'Averaged Data'!Q53</f>
        <v>4.9012164353759491E-2</v>
      </c>
      <c r="R36" s="12">
        <f>'Averaged Data'!R53</f>
        <v>1.0383859656497201</v>
      </c>
      <c r="S36" s="12">
        <f>'Averaged Data'!S53</f>
        <v>0</v>
      </c>
      <c r="T36" s="12">
        <f>'Averaged Data'!T53</f>
        <v>0</v>
      </c>
      <c r="U36" s="12">
        <f>'Averaged Data'!U53</f>
        <v>0</v>
      </c>
      <c r="V36" s="12">
        <f>'Averaged Data'!V53</f>
        <v>80.131688148468612</v>
      </c>
      <c r="W36" s="12">
        <f>'Averaged Data'!W53</f>
        <v>0.11945614529213117</v>
      </c>
      <c r="X36" s="12">
        <f>'Averaged Data'!X53</f>
        <v>0.23748759044768647</v>
      </c>
      <c r="Y36" s="12">
        <f>'Averaged Data'!Y53</f>
        <v>1.253371360826851E-2</v>
      </c>
      <c r="Z36" s="13">
        <f>'Averaged Data'!Z53</f>
        <v>0.26554290103086681</v>
      </c>
    </row>
    <row r="37" spans="1:26">
      <c r="A37" s="6" t="str">
        <f>'Averaged Data'!A40</f>
        <v>D2</v>
      </c>
      <c r="B37" s="7" t="str">
        <f>'Averaged Data'!B40</f>
        <v>V2</v>
      </c>
      <c r="C37" s="7">
        <f>'Averaged Data'!C40</f>
        <v>2</v>
      </c>
      <c r="D37" s="7">
        <f>'Averaged Data'!D40</f>
        <v>0</v>
      </c>
      <c r="E37" s="7">
        <f>'Averaged Data'!E40</f>
        <v>0.8</v>
      </c>
      <c r="F37" s="7"/>
      <c r="G37" s="7"/>
      <c r="H37" s="7"/>
      <c r="I37" s="7"/>
      <c r="J37" s="7">
        <f>'Averaged Data'!J40</f>
        <v>25.71142313</v>
      </c>
      <c r="K37" s="7">
        <f>'Averaged Data'!K40</f>
        <v>2.5282218859999999</v>
      </c>
      <c r="L37" s="7">
        <f>'Averaged Data'!L40</f>
        <v>0.807602975</v>
      </c>
      <c r="M37" s="7">
        <f>'Averaged Data'!M40</f>
        <v>14.1</v>
      </c>
      <c r="N37" s="7">
        <f>'Averaged Data'!N40</f>
        <v>0</v>
      </c>
      <c r="O37" s="7">
        <f>'Averaged Data'!O40</f>
        <v>0.43268670799999998</v>
      </c>
      <c r="P37" s="7">
        <f>'Averaged Data'!P40</f>
        <v>4.5955953999999993E-2</v>
      </c>
      <c r="Q37" s="7">
        <f>'Averaged Data'!Q40</f>
        <v>0.43268670799999998</v>
      </c>
      <c r="R37" s="7">
        <f>'Averaged Data'!R40</f>
        <v>4.5955953999999993E-2</v>
      </c>
      <c r="S37" s="7">
        <f>'Averaged Data'!S40</f>
        <v>0</v>
      </c>
      <c r="T37" s="7">
        <f>'Averaged Data'!T40</f>
        <v>0</v>
      </c>
      <c r="U37" s="7">
        <f>'Averaged Data'!U40</f>
        <v>0</v>
      </c>
      <c r="V37" s="7">
        <f>'Averaged Data'!V40</f>
        <v>326.11128261442531</v>
      </c>
      <c r="W37" s="7">
        <f>'Averaged Data'!W40</f>
        <v>2.718866649002943E-2</v>
      </c>
      <c r="X37" s="7">
        <f>'Averaged Data'!X40</f>
        <v>2.88772703999295E-3</v>
      </c>
      <c r="Y37" s="7">
        <f>'Averaged Data'!Y40</f>
        <v>2.718866649002943E-2</v>
      </c>
      <c r="Z37" s="8">
        <f>'Averaged Data'!Z40</f>
        <v>2.88772703999295E-3</v>
      </c>
    </row>
    <row r="38" spans="1:26">
      <c r="A38" s="9" t="str">
        <f>'Averaged Data'!A44</f>
        <v>D2</v>
      </c>
      <c r="B38" t="str">
        <f>'Averaged Data'!B44</f>
        <v>V2</v>
      </c>
      <c r="C38">
        <f>'Averaged Data'!C44</f>
        <v>6</v>
      </c>
      <c r="D38">
        <f>'Averaged Data'!D44</f>
        <v>8</v>
      </c>
      <c r="E38">
        <f>'Averaged Data'!E44</f>
        <v>0.8</v>
      </c>
      <c r="J38">
        <f>'Averaged Data'!J44</f>
        <v>25.702595590000001</v>
      </c>
      <c r="K38">
        <f>'Averaged Data'!K44</f>
        <v>2.5228218720000002</v>
      </c>
      <c r="L38">
        <f>'Averaged Data'!L44</f>
        <v>0.80967196399999997</v>
      </c>
      <c r="M38">
        <f>'Averaged Data'!M44</f>
        <v>15.47</v>
      </c>
      <c r="N38">
        <f>'Averaged Data'!N44</f>
        <v>0</v>
      </c>
      <c r="O38">
        <f>'Averaged Data'!O44</f>
        <v>0.53100438999999999</v>
      </c>
      <c r="P38">
        <f>'Averaged Data'!P44</f>
        <v>0.80362217400000002</v>
      </c>
      <c r="Q38">
        <f>'Averaged Data'!Q44</f>
        <v>0.41399410182274632</v>
      </c>
      <c r="R38">
        <f>'Averaged Data'!R44</f>
        <v>0.8697029058245902</v>
      </c>
      <c r="S38">
        <f>'Averaged Data'!S44</f>
        <v>0</v>
      </c>
      <c r="T38">
        <f>'Averaged Data'!T44</f>
        <v>0</v>
      </c>
      <c r="U38">
        <f>'Averaged Data'!U44</f>
        <v>0</v>
      </c>
      <c r="V38">
        <f>'Averaged Data'!V44</f>
        <v>327.78434464380859</v>
      </c>
      <c r="W38">
        <f>'Averaged Data'!W44</f>
        <v>3.3196330690607713E-2</v>
      </c>
      <c r="X38">
        <f>'Averaged Data'!X44</f>
        <v>5.0239335005138268E-2</v>
      </c>
      <c r="Y38">
        <f>'Averaged Data'!Y44</f>
        <v>2.5881302239457962E-2</v>
      </c>
      <c r="Z38" s="10">
        <f>'Averaged Data'!Z44</f>
        <v>5.4370445533106708E-2</v>
      </c>
    </row>
    <row r="39" spans="1:26">
      <c r="A39" s="9" t="str">
        <f>'Averaged Data'!A50</f>
        <v>D3</v>
      </c>
      <c r="B39" t="str">
        <f>'Averaged Data'!B50</f>
        <v>V2</v>
      </c>
      <c r="C39">
        <f>'Averaged Data'!C50</f>
        <v>12</v>
      </c>
      <c r="D39">
        <f>'Averaged Data'!D50</f>
        <v>16</v>
      </c>
      <c r="E39">
        <f>'Averaged Data'!E50</f>
        <v>0.8</v>
      </c>
      <c r="J39">
        <f>'Averaged Data'!J50</f>
        <v>19.02685632</v>
      </c>
      <c r="K39">
        <f>'Averaged Data'!K50</f>
        <v>2.5097573459999998</v>
      </c>
      <c r="L39">
        <f>'Averaged Data'!L50</f>
        <v>0.81018731200000005</v>
      </c>
      <c r="M39">
        <f>'Averaged Data'!M50</f>
        <v>0</v>
      </c>
      <c r="N39">
        <f>'Averaged Data'!N50</f>
        <v>0</v>
      </c>
      <c r="O39">
        <f>'Averaged Data'!O50</f>
        <v>0.92767938400000005</v>
      </c>
      <c r="P39">
        <f>'Averaged Data'!P50</f>
        <v>2.2809337119999999</v>
      </c>
      <c r="Q39">
        <f>'Averaged Data'!Q50</f>
        <v>0.26303212078132232</v>
      </c>
      <c r="R39">
        <f>'Averaged Data'!R50</f>
        <v>2.4482773007717076</v>
      </c>
      <c r="S39">
        <f>'Averaged Data'!S50</f>
        <v>0</v>
      </c>
      <c r="T39">
        <f>'Averaged Data'!T50</f>
        <v>0</v>
      </c>
      <c r="U39">
        <f>'Averaged Data'!U50</f>
        <v>0</v>
      </c>
      <c r="V39">
        <f>'Averaged Data'!V50</f>
        <v>328.20174026289271</v>
      </c>
      <c r="W39">
        <f>'Averaged Data'!W50</f>
        <v>5.7921153700757039E-2</v>
      </c>
      <c r="X39">
        <f>'Averaged Data'!X50</f>
        <v>0.14241376319514101</v>
      </c>
      <c r="Y39">
        <f>'Averaged Data'!Y50</f>
        <v>1.6422833318036806E-2</v>
      </c>
      <c r="Z39" s="10">
        <f>'Averaged Data'!Z50</f>
        <v>0.15286212918586606</v>
      </c>
    </row>
    <row r="40" spans="1:26">
      <c r="A40" s="11" t="str">
        <f>'Averaged Data'!A54</f>
        <v>D3</v>
      </c>
      <c r="B40" s="12" t="str">
        <f>'Averaged Data'!B54</f>
        <v>V2</v>
      </c>
      <c r="C40" s="12">
        <f>'Averaged Data'!C54</f>
        <v>16</v>
      </c>
      <c r="D40" s="12">
        <f>'Averaged Data'!D54</f>
        <v>24</v>
      </c>
      <c r="E40" s="12">
        <f>'Averaged Data'!E54</f>
        <v>0.8</v>
      </c>
      <c r="F40" s="12"/>
      <c r="G40" s="12"/>
      <c r="H40" s="12"/>
      <c r="I40" s="12"/>
      <c r="J40" s="12">
        <f>'Averaged Data'!J54</f>
        <v>19.029042960000002</v>
      </c>
      <c r="K40" s="12">
        <f>'Averaged Data'!K54</f>
        <v>2.5099315469999999</v>
      </c>
      <c r="L40" s="12">
        <f>'Averaged Data'!L54</f>
        <v>0.80901094500000004</v>
      </c>
      <c r="M40" s="12">
        <f>'Averaged Data'!M54</f>
        <v>0</v>
      </c>
      <c r="N40" s="12">
        <f>'Averaged Data'!N54</f>
        <v>0</v>
      </c>
      <c r="O40" s="12">
        <f>'Averaged Data'!O54</f>
        <v>1.8761560489999998</v>
      </c>
      <c r="P40" s="12">
        <f>'Averaged Data'!P54</f>
        <v>3.6966246500000004</v>
      </c>
      <c r="Q40" s="12">
        <f>'Averaged Data'!Q54</f>
        <v>0.21040113554038364</v>
      </c>
      <c r="R40" s="12">
        <f>'Averaged Data'!R54</f>
        <v>4.140136070873786</v>
      </c>
      <c r="S40" s="12">
        <f>'Averaged Data'!S54</f>
        <v>0</v>
      </c>
      <c r="T40" s="12">
        <f>'Averaged Data'!T54</f>
        <v>0</v>
      </c>
      <c r="U40" s="12">
        <f>'Averaged Data'!U54</f>
        <v>0</v>
      </c>
      <c r="V40" s="12">
        <f>'Averaged Data'!V54</f>
        <v>327.24935456489658</v>
      </c>
      <c r="W40" s="12">
        <f>'Averaged Data'!W54</f>
        <v>0.11748173110179608</v>
      </c>
      <c r="X40" s="12">
        <f>'Averaged Data'!X54</f>
        <v>0.23147640802429389</v>
      </c>
      <c r="Y40" s="12">
        <f>'Averaged Data'!Y54</f>
        <v>1.317496465298975E-2</v>
      </c>
      <c r="Z40" s="13">
        <f>'Averaged Data'!Z54</f>
        <v>0.25924834603309732</v>
      </c>
    </row>
    <row r="41" spans="1:26">
      <c r="A41" s="16" t="str">
        <f>'Averaged Data'!A56</f>
        <v>D3</v>
      </c>
      <c r="B41" s="17" t="str">
        <f>'Averaged Data'!B56</f>
        <v>V2</v>
      </c>
      <c r="C41" s="17">
        <f>'Averaged Data'!C56</f>
        <v>18</v>
      </c>
      <c r="D41" s="17">
        <f>'Averaged Data'!D56</f>
        <v>24</v>
      </c>
      <c r="E41" s="17">
        <f>'Averaged Data'!E56</f>
        <v>1</v>
      </c>
      <c r="F41" s="17"/>
      <c r="G41" s="17"/>
      <c r="H41" s="17"/>
      <c r="I41" s="17"/>
      <c r="J41" s="17">
        <f>'Averaged Data'!J56</f>
        <v>19.027423219999999</v>
      </c>
      <c r="K41" s="17">
        <f>'Averaged Data'!K56</f>
        <v>2.5081025100000001</v>
      </c>
      <c r="L41" s="17">
        <f>'Averaged Data'!L56</f>
        <v>1.003192364</v>
      </c>
      <c r="M41" s="17">
        <f>'Averaged Data'!M56</f>
        <v>14.12</v>
      </c>
      <c r="N41" s="17">
        <f>'Averaged Data'!N56</f>
        <v>0</v>
      </c>
      <c r="O41" s="17">
        <f>'Averaged Data'!O56</f>
        <v>3.0296824060000001</v>
      </c>
      <c r="P41" s="17">
        <f>'Averaged Data'!P56</f>
        <v>5.7165379549999997</v>
      </c>
      <c r="Q41" s="17">
        <f>'Averaged Data'!Q56</f>
        <v>0.44262714226890632</v>
      </c>
      <c r="R41" s="17">
        <f>'Averaged Data'!R56</f>
        <v>6.4546001336340257</v>
      </c>
      <c r="S41" s="17">
        <f>'Averaged Data'!S56</f>
        <v>0</v>
      </c>
      <c r="T41" s="17">
        <f>'Averaged Data'!T56</f>
        <v>0</v>
      </c>
      <c r="U41" s="17">
        <f>'Averaged Data'!U56</f>
        <v>0</v>
      </c>
      <c r="V41" s="17">
        <f>'Averaged Data'!V56</f>
        <v>503.19745959395425</v>
      </c>
      <c r="W41" s="17">
        <f>'Averaged Data'!W56</f>
        <v>0.12337831735230335</v>
      </c>
      <c r="X41" s="17">
        <f>'Averaged Data'!X56</f>
        <v>0.23279563315669768</v>
      </c>
      <c r="Y41" s="17">
        <f>'Averaged Data'!Y56</f>
        <v>1.8025187035923346E-2</v>
      </c>
      <c r="Z41" s="18">
        <f>'Averaged Data'!Z56</f>
        <v>0.26285187585755099</v>
      </c>
    </row>
    <row r="42" spans="1:26">
      <c r="A42" s="6" t="str">
        <f>'Averaged Data'!A41</f>
        <v>D2</v>
      </c>
      <c r="B42" s="7" t="str">
        <f>'Averaged Data'!B41</f>
        <v>V2</v>
      </c>
      <c r="C42" s="7">
        <f>'Averaged Data'!C41</f>
        <v>3</v>
      </c>
      <c r="D42" s="7">
        <f>'Averaged Data'!D41</f>
        <v>0</v>
      </c>
      <c r="E42" s="7">
        <f>'Averaged Data'!E41</f>
        <v>1.2</v>
      </c>
      <c r="F42" s="7"/>
      <c r="G42" s="7"/>
      <c r="H42" s="7"/>
      <c r="I42" s="7"/>
      <c r="J42" s="7">
        <f>'Averaged Data'!J41</f>
        <v>25.706725899999999</v>
      </c>
      <c r="K42" s="7">
        <f>'Averaged Data'!K41</f>
        <v>2.5298767230000001</v>
      </c>
      <c r="L42" s="7">
        <f>'Averaged Data'!L41</f>
        <v>1.196363101</v>
      </c>
      <c r="M42" s="7">
        <f>'Averaged Data'!M41</f>
        <v>14.27</v>
      </c>
      <c r="N42" s="7">
        <f>'Averaged Data'!N41</f>
        <v>0</v>
      </c>
      <c r="O42" s="7">
        <f>'Averaged Data'!O41</f>
        <v>0.82467747499999999</v>
      </c>
      <c r="P42" s="7">
        <f>'Averaged Data'!P41</f>
        <v>0.11392364299999999</v>
      </c>
      <c r="Q42" s="7">
        <f>'Averaged Data'!Q41</f>
        <v>0.82467747499999999</v>
      </c>
      <c r="R42" s="7">
        <f>'Averaged Data'!R41</f>
        <v>0.11392364299999999</v>
      </c>
      <c r="S42" s="7">
        <f>'Averaged Data'!S41</f>
        <v>0</v>
      </c>
      <c r="T42" s="7">
        <f>'Averaged Data'!T41</f>
        <v>0</v>
      </c>
      <c r="U42" s="7">
        <f>'Averaged Data'!U41</f>
        <v>0</v>
      </c>
      <c r="V42" s="7">
        <f>'Averaged Data'!V41</f>
        <v>715.64233471716807</v>
      </c>
      <c r="W42" s="7">
        <f>'Averaged Data'!W41</f>
        <v>2.3613930823061697E-2</v>
      </c>
      <c r="X42" s="7">
        <f>'Averaged Data'!X41</f>
        <v>3.2621056188216818E-3</v>
      </c>
      <c r="Y42" s="7">
        <f>'Averaged Data'!Y41</f>
        <v>2.3613930823061697E-2</v>
      </c>
      <c r="Z42" s="8">
        <f>'Averaged Data'!Z41</f>
        <v>3.2621056188216818E-3</v>
      </c>
    </row>
    <row r="43" spans="1:26">
      <c r="A43" s="9" t="str">
        <f>'Averaged Data'!A45</f>
        <v>D2</v>
      </c>
      <c r="B43" t="str">
        <f>'Averaged Data'!B45</f>
        <v>V2</v>
      </c>
      <c r="C43">
        <f>'Averaged Data'!C45</f>
        <v>7</v>
      </c>
      <c r="D43">
        <f>'Averaged Data'!D45</f>
        <v>8</v>
      </c>
      <c r="E43">
        <f>'Averaged Data'!E45</f>
        <v>1.2</v>
      </c>
      <c r="J43">
        <f>'Averaged Data'!J45</f>
        <v>25.702595590000001</v>
      </c>
      <c r="K43">
        <f>'Averaged Data'!K45</f>
        <v>2.523867042</v>
      </c>
      <c r="L43">
        <f>'Averaged Data'!L45</f>
        <v>1.199292507</v>
      </c>
      <c r="M43">
        <f>'Averaged Data'!M45</f>
        <v>0</v>
      </c>
      <c r="N43">
        <f>'Averaged Data'!N45</f>
        <v>0</v>
      </c>
      <c r="O43">
        <f>'Averaged Data'!O45</f>
        <v>0.95143992700000002</v>
      </c>
      <c r="P43">
        <f>'Averaged Data'!P45</f>
        <v>2.0535953080000002</v>
      </c>
      <c r="Q43">
        <f>'Averaged Data'!Q45</f>
        <v>0.65637535190250995</v>
      </c>
      <c r="R43">
        <f>'Averaged Data'!R45</f>
        <v>2.166024704647719</v>
      </c>
      <c r="S43">
        <f>'Averaged Data'!S45</f>
        <v>0</v>
      </c>
      <c r="T43">
        <f>'Averaged Data'!T45</f>
        <v>0</v>
      </c>
      <c r="U43">
        <f>'Averaged Data'!U45</f>
        <v>0</v>
      </c>
      <c r="V43">
        <f>'Averaged Data'!V45</f>
        <v>719.15125867317249</v>
      </c>
      <c r="W43">
        <f>'Averaged Data'!W45</f>
        <v>2.7110735857634509E-2</v>
      </c>
      <c r="X43">
        <f>'Averaged Data'!X45</f>
        <v>5.8516022266601381E-2</v>
      </c>
      <c r="Y43">
        <f>'Averaged Data'!Y45</f>
        <v>1.8703039765211416E-2</v>
      </c>
      <c r="Z43" s="10">
        <f>'Averaged Data'!Z45</f>
        <v>6.1719633539002311E-2</v>
      </c>
    </row>
    <row r="44" spans="1:26">
      <c r="A44" s="9" t="str">
        <f>'Averaged Data'!A51</f>
        <v>D3</v>
      </c>
      <c r="B44" t="str">
        <f>'Averaged Data'!B51</f>
        <v>V2</v>
      </c>
      <c r="C44">
        <f>'Averaged Data'!C51</f>
        <v>13</v>
      </c>
      <c r="D44">
        <f>'Averaged Data'!D51</f>
        <v>16</v>
      </c>
      <c r="E44">
        <f>'Averaged Data'!E51</f>
        <v>1.2</v>
      </c>
      <c r="J44">
        <f>'Averaged Data'!J51</f>
        <v>19.026370400000001</v>
      </c>
      <c r="K44">
        <f>'Averaged Data'!K51</f>
        <v>2.5060121959999999</v>
      </c>
      <c r="L44">
        <f>'Averaged Data'!L51</f>
        <v>1.197884553</v>
      </c>
      <c r="M44">
        <f>'Averaged Data'!M51</f>
        <v>0</v>
      </c>
      <c r="N44">
        <f>'Averaged Data'!N51</f>
        <v>0</v>
      </c>
      <c r="O44">
        <f>'Averaged Data'!O51</f>
        <v>2.0713320180000001</v>
      </c>
      <c r="P44">
        <f>'Averaged Data'!P51</f>
        <v>5.3482779630000001</v>
      </c>
      <c r="Q44">
        <f>'Averaged Data'!Q51</f>
        <v>0.51690693257837417</v>
      </c>
      <c r="R44">
        <f>'Averaged Data'!R51</f>
        <v>5.7120312255235266</v>
      </c>
      <c r="S44">
        <f>'Averaged Data'!S51</f>
        <v>0</v>
      </c>
      <c r="T44">
        <f>'Averaged Data'!T51</f>
        <v>0</v>
      </c>
      <c r="U44">
        <f>'Averaged Data'!U51</f>
        <v>0</v>
      </c>
      <c r="V44">
        <f>'Averaged Data'!V51</f>
        <v>717.46370115800482</v>
      </c>
      <c r="W44">
        <f>'Averaged Data'!W51</f>
        <v>5.9160244858655661E-2</v>
      </c>
      <c r="X44">
        <f>'Averaged Data'!X51</f>
        <v>0.15275457102659054</v>
      </c>
      <c r="Y44">
        <f>'Averaged Data'!Y51</f>
        <v>1.4763611258228147E-2</v>
      </c>
      <c r="Z44" s="10">
        <f>'Averaged Data'!Z51</f>
        <v>0.16314389146967687</v>
      </c>
    </row>
    <row r="45" spans="1:26">
      <c r="A45" s="11" t="str">
        <f>'Averaged Data'!A55</f>
        <v>D3</v>
      </c>
      <c r="B45" s="12" t="str">
        <f>'Averaged Data'!B55</f>
        <v>V2</v>
      </c>
      <c r="C45" s="12">
        <f>'Averaged Data'!C55</f>
        <v>17</v>
      </c>
      <c r="D45" s="12">
        <f>'Averaged Data'!D55</f>
        <v>24</v>
      </c>
      <c r="E45" s="12">
        <f>'Averaged Data'!E55</f>
        <v>1.2</v>
      </c>
      <c r="F45" s="12"/>
      <c r="G45" s="12"/>
      <c r="H45" s="12"/>
      <c r="I45" s="12"/>
      <c r="J45" s="12">
        <f>'Averaged Data'!J55</f>
        <v>19.02807112</v>
      </c>
      <c r="K45" s="12">
        <f>'Averaged Data'!K55</f>
        <v>2.5094960670000002</v>
      </c>
      <c r="L45" s="12">
        <f>'Averaged Data'!L55</f>
        <v>1.194729685</v>
      </c>
      <c r="M45" s="12">
        <f>'Averaged Data'!M55</f>
        <v>0</v>
      </c>
      <c r="N45" s="12" t="str">
        <f>'Averaged Data'!N55</f>
        <v>a Little water over bow. Reduce speed to 1.0m/s to capture curve more accurately</v>
      </c>
      <c r="O45" s="12">
        <f>'Averaged Data'!O55</f>
        <v>3.9354020369999994</v>
      </c>
      <c r="P45" s="12">
        <f>'Averaged Data'!P55</f>
        <v>7.1846280250000003</v>
      </c>
      <c r="Q45" s="12">
        <f>'Averaged Data'!Q55</f>
        <v>0.67291717026197162</v>
      </c>
      <c r="R45" s="12">
        <f>'Averaged Data'!R55</f>
        <v>8.1641565107735268</v>
      </c>
      <c r="S45" s="12">
        <f>'Averaged Data'!S55</f>
        <v>0</v>
      </c>
      <c r="T45" s="12">
        <f>'Averaged Data'!T55</f>
        <v>0</v>
      </c>
      <c r="U45" s="12">
        <f>'Averaged Data'!U55</f>
        <v>0</v>
      </c>
      <c r="V45" s="12">
        <f>'Averaged Data'!V55</f>
        <v>713.6895101100996</v>
      </c>
      <c r="W45" s="12">
        <f>'Averaged Data'!W55</f>
        <v>0.11299519359940341</v>
      </c>
      <c r="X45" s="12">
        <f>'Averaged Data'!X55</f>
        <v>0.20628856391085273</v>
      </c>
      <c r="Y45" s="12">
        <f>'Averaged Data'!Y55</f>
        <v>1.9321127858153365E-2</v>
      </c>
      <c r="Z45" s="13">
        <f>'Averaged Data'!Z55</f>
        <v>0.23441326625269635</v>
      </c>
    </row>
    <row r="46" spans="1:26">
      <c r="A46" s="6" t="str">
        <f>'Averaged Data'!A42</f>
        <v>D2</v>
      </c>
      <c r="B46" s="7" t="str">
        <f>'Averaged Data'!B42</f>
        <v>V2</v>
      </c>
      <c r="C46" s="7">
        <f>'Averaged Data'!C42</f>
        <v>4</v>
      </c>
      <c r="D46" s="7">
        <f>'Averaged Data'!D42</f>
        <v>0</v>
      </c>
      <c r="E46" s="7">
        <f>'Averaged Data'!E42</f>
        <v>1.6</v>
      </c>
      <c r="F46" s="7"/>
      <c r="G46" s="7"/>
      <c r="H46" s="7"/>
      <c r="I46" s="7"/>
      <c r="J46" s="7">
        <f>'Averaged Data'!J42</f>
        <v>25.707094730000001</v>
      </c>
      <c r="K46" s="7">
        <f>'Averaged Data'!K42</f>
        <v>2.5265951339999999</v>
      </c>
      <c r="L46" s="7">
        <f>'Averaged Data'!L42</f>
        <v>1.6066748719999999</v>
      </c>
      <c r="M46" s="7">
        <f>'Averaged Data'!M42</f>
        <v>14.56</v>
      </c>
      <c r="N46" s="7">
        <f>'Averaged Data'!N42</f>
        <v>0</v>
      </c>
      <c r="O46" s="7">
        <f>'Averaged Data'!O42</f>
        <v>1.2398563490000001</v>
      </c>
      <c r="P46" s="7">
        <f>'Averaged Data'!P42</f>
        <v>0.179319178</v>
      </c>
      <c r="Q46" s="7">
        <f>'Averaged Data'!Q42</f>
        <v>1.2398563490000001</v>
      </c>
      <c r="R46" s="7">
        <f>'Averaged Data'!R42</f>
        <v>0.179319178</v>
      </c>
      <c r="S46" s="7">
        <f>'Averaged Data'!S42</f>
        <v>0</v>
      </c>
      <c r="T46" s="7">
        <f>'Averaged Data'!T42</f>
        <v>0</v>
      </c>
      <c r="U46" s="7">
        <f>'Averaged Data'!U42</f>
        <v>0</v>
      </c>
      <c r="V46" s="7">
        <f>'Averaged Data'!V42</f>
        <v>1290.7020721581082</v>
      </c>
      <c r="W46" s="7">
        <f>'Averaged Data'!W42</f>
        <v>1.9684552264690788E-2</v>
      </c>
      <c r="X46" s="7">
        <f>'Averaged Data'!X42</f>
        <v>2.8469570158263474E-3</v>
      </c>
      <c r="Y46" s="7">
        <f>'Averaged Data'!Y42</f>
        <v>1.9684552264690788E-2</v>
      </c>
      <c r="Z46" s="8">
        <f>'Averaged Data'!Z42</f>
        <v>2.8469570158263474E-3</v>
      </c>
    </row>
    <row r="47" spans="1:26">
      <c r="A47" s="9" t="str">
        <f>'Averaged Data'!A48</f>
        <v>D3</v>
      </c>
      <c r="B47" t="str">
        <f>'Averaged Data'!B48</f>
        <v>V2</v>
      </c>
      <c r="C47">
        <f>'Averaged Data'!C48</f>
        <v>10</v>
      </c>
      <c r="D47">
        <f>'Averaged Data'!D48</f>
        <v>8</v>
      </c>
      <c r="E47">
        <f>'Averaged Data'!E48</f>
        <v>1.6</v>
      </c>
      <c r="J47">
        <f>'Averaged Data'!J48</f>
        <v>19.02445294</v>
      </c>
      <c r="K47">
        <f>'Averaged Data'!K48</f>
        <v>2.5123917269999998</v>
      </c>
      <c r="L47">
        <f>'Averaged Data'!L48</f>
        <v>1.6035679039999999</v>
      </c>
      <c r="M47">
        <f>'Averaged Data'!M48</f>
        <v>0</v>
      </c>
      <c r="N47" t="str">
        <f>'Averaged Data'!N48</f>
        <v>good run, wrong clapper board used in test</v>
      </c>
      <c r="O47">
        <f>'Averaged Data'!O48</f>
        <v>1.6372181589999999</v>
      </c>
      <c r="P47">
        <f>'Averaged Data'!P48</f>
        <v>2.9793587339999998</v>
      </c>
      <c r="Q47">
        <f>'Averaged Data'!Q48</f>
        <v>1.2066382705383245</v>
      </c>
      <c r="R47">
        <f>'Averaged Data'!R48</f>
        <v>3.1782205477426695</v>
      </c>
      <c r="S47">
        <f>'Averaged Data'!S48</f>
        <v>0</v>
      </c>
      <c r="T47">
        <f>'Averaged Data'!T48</f>
        <v>0</v>
      </c>
      <c r="U47">
        <f>'Averaged Data'!U48</f>
        <v>0</v>
      </c>
      <c r="V47">
        <f>'Averaged Data'!V48</f>
        <v>1285.7150113694763</v>
      </c>
      <c r="W47">
        <f>'Averaged Data'!W48</f>
        <v>2.6094081613614636E-2</v>
      </c>
      <c r="X47">
        <f>'Averaged Data'!X48</f>
        <v>4.7485198923469543E-2</v>
      </c>
      <c r="Y47">
        <f>'Averaged Data'!Y48</f>
        <v>1.9231473421214271E-2</v>
      </c>
      <c r="Z47" s="10">
        <f>'Averaged Data'!Z48</f>
        <v>5.065467048662526E-2</v>
      </c>
    </row>
    <row r="48" spans="1:26">
      <c r="A48" s="11" t="str">
        <f>'Averaged Data'!A52</f>
        <v>D3</v>
      </c>
      <c r="B48" s="12" t="str">
        <f>'Averaged Data'!B52</f>
        <v>V2</v>
      </c>
      <c r="C48" s="12">
        <f>'Averaged Data'!C52</f>
        <v>14</v>
      </c>
      <c r="D48" s="12">
        <f>'Averaged Data'!D52</f>
        <v>16</v>
      </c>
      <c r="E48" s="12">
        <f>'Averaged Data'!E52</f>
        <v>1.6</v>
      </c>
      <c r="F48" s="12"/>
      <c r="G48" s="12"/>
      <c r="H48" s="12"/>
      <c r="I48" s="12"/>
      <c r="J48" s="12">
        <f>'Averaged Data'!J52</f>
        <v>19.02777914</v>
      </c>
      <c r="K48" s="12">
        <f>'Averaged Data'!K52</f>
        <v>2.5070260040000001</v>
      </c>
      <c r="L48" s="12">
        <f>'Averaged Data'!L52</f>
        <v>1.6058393099999999</v>
      </c>
      <c r="M48" s="12">
        <f>'Averaged Data'!M52</f>
        <v>0</v>
      </c>
      <c r="N48" s="12" t="str">
        <f>'Averaged Data'!N52</f>
        <v>water over bow a bit. Adjusted angle??</v>
      </c>
      <c r="O48" s="12">
        <f>'Averaged Data'!O52</f>
        <v>3.5402592590000004</v>
      </c>
      <c r="P48" s="12">
        <f>'Averaged Data'!P52</f>
        <v>8.2081412100000009</v>
      </c>
      <c r="Q48" s="12">
        <f>'Averaged Data'!Q52</f>
        <v>1.1406452800707321</v>
      </c>
      <c r="R48" s="12">
        <f>'Averaged Data'!R52</f>
        <v>8.8659994410832148</v>
      </c>
      <c r="S48" s="12">
        <f>'Averaged Data'!S52</f>
        <v>0</v>
      </c>
      <c r="T48" s="12">
        <f>'Averaged Data'!T52</f>
        <v>0</v>
      </c>
      <c r="U48" s="12">
        <f>'Averaged Data'!U52</f>
        <v>0</v>
      </c>
      <c r="V48" s="12">
        <f>'Averaged Data'!V52</f>
        <v>1289.3599447706379</v>
      </c>
      <c r="W48" s="12">
        <f>'Averaged Data'!W52</f>
        <v>5.6265355989392668E-2</v>
      </c>
      <c r="X48" s="12">
        <f>'Averaged Data'!X52</f>
        <v>0.13045202438713663</v>
      </c>
      <c r="Y48" s="12">
        <f>'Averaged Data'!Y52</f>
        <v>1.8128280457891808E-2</v>
      </c>
      <c r="Z48" s="13">
        <f>'Averaged Data'!Z52</f>
        <v>0.14090736814998425</v>
      </c>
    </row>
    <row r="50" spans="1:26">
      <c r="A50" s="9" t="str">
        <f>'Averaged Data'!A63</f>
        <v>D4</v>
      </c>
      <c r="B50" t="str">
        <f>'Averaged Data'!B63</f>
        <v>V3</v>
      </c>
      <c r="C50">
        <f>'Averaged Data'!C63</f>
        <v>24</v>
      </c>
      <c r="D50">
        <f>'Averaged Data'!D63</f>
        <v>0</v>
      </c>
      <c r="E50">
        <f>'Averaged Data'!E63</f>
        <v>0.4</v>
      </c>
      <c r="J50">
        <f>'Averaged Data'!J63</f>
        <v>14.109663039999999</v>
      </c>
      <c r="K50">
        <f>'Averaged Data'!K63</f>
        <v>2.627163779</v>
      </c>
      <c r="L50">
        <f>'Averaged Data'!L63</f>
        <v>0.40046712400000001</v>
      </c>
      <c r="M50">
        <f>'Averaged Data'!M63</f>
        <v>9.26</v>
      </c>
      <c r="N50" t="str">
        <f>'Averaged Data'!N63</f>
        <v>Twater = 16</v>
      </c>
      <c r="O50">
        <f>'Averaged Data'!O63</f>
        <v>3.3049399E-2</v>
      </c>
      <c r="P50">
        <f>'Averaged Data'!P63</f>
        <v>7.151359999999999E-4</v>
      </c>
      <c r="Q50">
        <f>'Averaged Data'!Q63</f>
        <v>3.3049399E-2</v>
      </c>
      <c r="R50">
        <f>'Averaged Data'!R63</f>
        <v>7.151359999999999E-4</v>
      </c>
      <c r="S50">
        <f>'Averaged Data'!S63</f>
        <v>0</v>
      </c>
      <c r="T50">
        <f>'Averaged Data'!T63</f>
        <v>0</v>
      </c>
      <c r="U50">
        <f>'Averaged Data'!U63</f>
        <v>0</v>
      </c>
      <c r="V50">
        <f>'Averaged Data'!V63</f>
        <v>80.186958702415694</v>
      </c>
      <c r="W50">
        <f>'Averaged Data'!W63</f>
        <v>8.4457846231607084E-3</v>
      </c>
      <c r="X50">
        <f>'Averaged Data'!X63</f>
        <v>1.8275323651932839E-4</v>
      </c>
      <c r="Y50">
        <f>'Averaged Data'!Y63</f>
        <v>8.4457846231607084E-3</v>
      </c>
      <c r="Z50" s="10">
        <f>'Averaged Data'!Z63</f>
        <v>1.8275323651932839E-4</v>
      </c>
    </row>
    <row r="51" spans="1:26">
      <c r="A51" s="9" t="str">
        <f>'Averaged Data'!A66</f>
        <v>D4</v>
      </c>
      <c r="B51" t="str">
        <f>'Averaged Data'!B66</f>
        <v>V3</v>
      </c>
      <c r="C51">
        <f>'Averaged Data'!C66</f>
        <v>27</v>
      </c>
      <c r="D51">
        <f>'Averaged Data'!D66</f>
        <v>4</v>
      </c>
      <c r="E51">
        <f>'Averaged Data'!E66</f>
        <v>0.4</v>
      </c>
      <c r="J51">
        <f>'Averaged Data'!J66</f>
        <v>14.11589901</v>
      </c>
      <c r="K51">
        <f>'Averaged Data'!K66</f>
        <v>2.6189767270000002</v>
      </c>
      <c r="L51">
        <f>'Averaged Data'!L66</f>
        <v>0.399398115</v>
      </c>
      <c r="M51">
        <f>'Averaged Data'!M66</f>
        <v>10.19</v>
      </c>
      <c r="N51">
        <f>'Averaged Data'!N66</f>
        <v>0</v>
      </c>
      <c r="O51">
        <f>'Averaged Data'!O66</f>
        <v>2.2953411E-2</v>
      </c>
      <c r="P51">
        <f>'Averaged Data'!P66</f>
        <v>0.101740539</v>
      </c>
      <c r="Q51">
        <f>'Averaged Data'!Q66</f>
        <v>1.5800436406971746E-2</v>
      </c>
      <c r="R51">
        <f>'Averaged Data'!R66</f>
        <v>0.10309385317221723</v>
      </c>
      <c r="S51">
        <f>'Averaged Data'!S66</f>
        <v>0</v>
      </c>
      <c r="T51">
        <f>'Averaged Data'!T66</f>
        <v>0</v>
      </c>
      <c r="U51">
        <f>'Averaged Data'!U66</f>
        <v>0</v>
      </c>
      <c r="V51">
        <f>'Averaged Data'!V66</f>
        <v>79.759427132776622</v>
      </c>
      <c r="W51">
        <f>'Averaged Data'!W66</f>
        <v>5.8971935944810107E-3</v>
      </c>
      <c r="X51">
        <f>'Averaged Data'!X66</f>
        <v>2.613919364271591E-2</v>
      </c>
      <c r="Y51">
        <f>'Averaged Data'!Y66</f>
        <v>4.0594503522460492E-3</v>
      </c>
      <c r="Z51" s="10">
        <f>'Averaged Data'!Z66</f>
        <v>2.648688731089097E-2</v>
      </c>
    </row>
    <row r="52" spans="1:26">
      <c r="A52" s="9" t="str">
        <f>'Averaged Data'!A69</f>
        <v>D4</v>
      </c>
      <c r="B52" t="str">
        <f>'Averaged Data'!B69</f>
        <v>V3</v>
      </c>
      <c r="C52">
        <f>'Averaged Data'!C69</f>
        <v>30</v>
      </c>
      <c r="D52">
        <f>'Averaged Data'!D69</f>
        <v>8</v>
      </c>
      <c r="E52">
        <f>'Averaged Data'!E69</f>
        <v>0.4</v>
      </c>
      <c r="J52">
        <f>'Averaged Data'!J69</f>
        <v>14.110634879999999</v>
      </c>
      <c r="K52">
        <f>'Averaged Data'!K69</f>
        <v>2.6244638220000001</v>
      </c>
      <c r="L52">
        <f>'Averaged Data'!L69</f>
        <v>0.39947481400000001</v>
      </c>
      <c r="M52">
        <f>'Averaged Data'!M69</f>
        <v>0</v>
      </c>
      <c r="N52">
        <f>'Averaged Data'!N69</f>
        <v>0</v>
      </c>
      <c r="O52">
        <f>'Averaged Data'!O69</f>
        <v>0.136457726</v>
      </c>
      <c r="P52">
        <f>'Averaged Data'!P69</f>
        <v>0.23400464100000001</v>
      </c>
      <c r="Q52">
        <f>'Averaged Data'!Q69</f>
        <v>0.1025625772638695</v>
      </c>
      <c r="R52">
        <f>'Averaged Data'!R69</f>
        <v>0.25071856879701349</v>
      </c>
      <c r="S52">
        <f>'Averaged Data'!S69</f>
        <v>0</v>
      </c>
      <c r="T52">
        <f>'Averaged Data'!T69</f>
        <v>0</v>
      </c>
      <c r="U52">
        <f>'Averaged Data'!U69</f>
        <v>0</v>
      </c>
      <c r="V52">
        <f>'Averaged Data'!V69</f>
        <v>79.7900635101673</v>
      </c>
      <c r="W52">
        <f>'Averaged Data'!W69</f>
        <v>3.5045276993580336E-2</v>
      </c>
      <c r="X52">
        <f>'Averaged Data'!X69</f>
        <v>6.0097421392089782E-2</v>
      </c>
      <c r="Y52">
        <f>'Averaged Data'!Y69</f>
        <v>2.6340274272105276E-2</v>
      </c>
      <c r="Z52" s="10">
        <f>'Averaged Data'!Z69</f>
        <v>6.4389917291494111E-2</v>
      </c>
    </row>
    <row r="53" spans="1:26">
      <c r="A53" s="9" t="str">
        <f>'Averaged Data'!A72</f>
        <v>D4</v>
      </c>
      <c r="B53" t="str">
        <f>'Averaged Data'!B72</f>
        <v>V3</v>
      </c>
      <c r="C53">
        <f>'Averaged Data'!C72</f>
        <v>33</v>
      </c>
      <c r="D53">
        <f>'Averaged Data'!D72</f>
        <v>12</v>
      </c>
      <c r="E53">
        <f>'Averaged Data'!E72</f>
        <v>0.4</v>
      </c>
      <c r="J53">
        <f>'Averaged Data'!J72</f>
        <v>14.101564379999999</v>
      </c>
      <c r="K53">
        <f>'Averaged Data'!K72</f>
        <v>2.6186283509999999</v>
      </c>
      <c r="L53">
        <f>'Averaged Data'!L72</f>
        <v>0.39940424800000002</v>
      </c>
      <c r="M53">
        <f>'Averaged Data'!M72</f>
        <v>0</v>
      </c>
      <c r="N53">
        <f>'Averaged Data'!N72</f>
        <v>0</v>
      </c>
      <c r="O53">
        <f>'Averaged Data'!O72</f>
        <v>9.3173092000000013E-2</v>
      </c>
      <c r="P53">
        <f>'Averaged Data'!P72</f>
        <v>0.49393100000000001</v>
      </c>
      <c r="Q53">
        <f>'Averaged Data'!Q72</f>
        <v>-1.1556992964556534E-2</v>
      </c>
      <c r="R53">
        <f>'Averaged Data'!R72</f>
        <v>0.50250919767448798</v>
      </c>
      <c r="S53">
        <f>'Averaged Data'!S72</f>
        <v>0</v>
      </c>
      <c r="T53">
        <f>'Averaged Data'!T72</f>
        <v>0</v>
      </c>
      <c r="U53">
        <f>'Averaged Data'!U72</f>
        <v>0</v>
      </c>
      <c r="V53">
        <f>'Averaged Data'!V72</f>
        <v>79.761876660222754</v>
      </c>
      <c r="W53">
        <f>'Averaged Data'!W72</f>
        <v>2.3937308800600323E-2</v>
      </c>
      <c r="X53">
        <f>'Averaged Data'!X72</f>
        <v>0.12689692506060996</v>
      </c>
      <c r="Y53">
        <f>'Averaged Data'!Y72</f>
        <v>-2.9691330775944956E-3</v>
      </c>
      <c r="Z53" s="10">
        <f>'Averaged Data'!Z72</f>
        <v>0.1291007691348928</v>
      </c>
    </row>
    <row r="54" spans="1:26">
      <c r="A54" s="11" t="str">
        <f>'Averaged Data'!A75</f>
        <v>D4</v>
      </c>
      <c r="B54" s="12" t="str">
        <f>'Averaged Data'!B75</f>
        <v>V3</v>
      </c>
      <c r="C54" s="12">
        <f>'Averaged Data'!C75</f>
        <v>36</v>
      </c>
      <c r="D54" s="12">
        <f>'Averaged Data'!D75</f>
        <v>16</v>
      </c>
      <c r="E54" s="12">
        <f>'Averaged Data'!E75</f>
        <v>0.4</v>
      </c>
      <c r="F54" s="12"/>
      <c r="G54" s="12"/>
      <c r="H54" s="12"/>
      <c r="I54" s="12"/>
      <c r="J54" s="12">
        <f>'Averaged Data'!J75</f>
        <v>14.099620699999999</v>
      </c>
      <c r="K54" s="12">
        <f>'Averaged Data'!K75</f>
        <v>2.6154057719999999</v>
      </c>
      <c r="L54" s="12">
        <f>'Averaged Data'!L75</f>
        <v>0.400806094</v>
      </c>
      <c r="M54" s="12">
        <f>'Averaged Data'!M75</f>
        <v>0</v>
      </c>
      <c r="N54" s="12">
        <f>'Averaged Data'!N75</f>
        <v>0</v>
      </c>
      <c r="O54" s="12">
        <f>'Averaged Data'!O75</f>
        <v>0.24446905000000002</v>
      </c>
      <c r="P54" s="12">
        <f>'Averaged Data'!P75</f>
        <v>0.7395220520000001</v>
      </c>
      <c r="Q54" s="12">
        <f>'Averaged Data'!Q75</f>
        <v>3.1158830625788309E-2</v>
      </c>
      <c r="R54" s="12">
        <f>'Averaged Data'!R75</f>
        <v>0.77825902441039951</v>
      </c>
      <c r="S54" s="12">
        <f>'Averaged Data'!S75</f>
        <v>0</v>
      </c>
      <c r="T54" s="12">
        <f>'Averaged Data'!T75</f>
        <v>0</v>
      </c>
      <c r="U54" s="12">
        <f>'Averaged Data'!U75</f>
        <v>0</v>
      </c>
      <c r="V54" s="12">
        <f>'Averaged Data'!V75</f>
        <v>80.322762493768423</v>
      </c>
      <c r="W54" s="12">
        <f>'Averaged Data'!W75</f>
        <v>6.2368518272968056E-2</v>
      </c>
      <c r="X54" s="12">
        <f>'Averaged Data'!X75</f>
        <v>0.18866557796753755</v>
      </c>
      <c r="Y54" s="12">
        <f>'Averaged Data'!Y75</f>
        <v>7.9491866035753585E-3</v>
      </c>
      <c r="Z54" s="13">
        <f>'Averaged Data'!Z75</f>
        <v>0.19854808690524339</v>
      </c>
    </row>
    <row r="55" spans="1:26">
      <c r="A55" s="9" t="str">
        <f>'Averaged Data'!A64</f>
        <v>D4</v>
      </c>
      <c r="B55" t="str">
        <f>'Averaged Data'!B64</f>
        <v>V3</v>
      </c>
      <c r="C55">
        <f>'Averaged Data'!C64</f>
        <v>25</v>
      </c>
      <c r="D55">
        <f>'Averaged Data'!D64</f>
        <v>0</v>
      </c>
      <c r="E55">
        <f>'Averaged Data'!E64</f>
        <v>0.8</v>
      </c>
      <c r="J55">
        <f>'Averaged Data'!J64</f>
        <v>14.11436026</v>
      </c>
      <c r="K55">
        <f>'Averaged Data'!K64</f>
        <v>2.6225476759999999</v>
      </c>
      <c r="L55">
        <f>'Averaged Data'!L64</f>
        <v>0.80883299900000005</v>
      </c>
      <c r="M55">
        <f>'Averaged Data'!M64</f>
        <v>9.3699999999999992</v>
      </c>
      <c r="N55">
        <f>'Averaged Data'!N64</f>
        <v>0</v>
      </c>
      <c r="O55">
        <f>'Averaged Data'!O64</f>
        <v>0.150880187</v>
      </c>
      <c r="P55">
        <f>'Averaged Data'!P64</f>
        <v>3.6282541000000001E-2</v>
      </c>
      <c r="Q55">
        <f>'Averaged Data'!Q64</f>
        <v>0.150880187</v>
      </c>
      <c r="R55">
        <f>'Averaged Data'!R64</f>
        <v>3.6282541000000001E-2</v>
      </c>
      <c r="S55">
        <f>'Averaged Data'!S64</f>
        <v>0</v>
      </c>
      <c r="T55">
        <f>'Averaged Data'!T64</f>
        <v>0</v>
      </c>
      <c r="U55">
        <f>'Averaged Data'!U64</f>
        <v>0</v>
      </c>
      <c r="V55">
        <f>'Averaged Data'!V64</f>
        <v>327.105410135667</v>
      </c>
      <c r="W55">
        <f>'Averaged Data'!W64</f>
        <v>9.4520207090839931E-3</v>
      </c>
      <c r="X55">
        <f>'Averaged Data'!X64</f>
        <v>2.2729513777060011E-3</v>
      </c>
      <c r="Y55">
        <f>'Averaged Data'!Y64</f>
        <v>9.4520207090839931E-3</v>
      </c>
      <c r="Z55" s="10">
        <f>'Averaged Data'!Z64</f>
        <v>2.2729513777060011E-3</v>
      </c>
    </row>
    <row r="56" spans="1:26">
      <c r="A56" s="9" t="str">
        <f>'Averaged Data'!A67</f>
        <v>D4</v>
      </c>
      <c r="B56" t="str">
        <f>'Averaged Data'!B67</f>
        <v>V3</v>
      </c>
      <c r="C56">
        <f>'Averaged Data'!C67</f>
        <v>28</v>
      </c>
      <c r="D56">
        <f>'Averaged Data'!D67</f>
        <v>4</v>
      </c>
      <c r="E56">
        <f>'Averaged Data'!E67</f>
        <v>0.8</v>
      </c>
      <c r="J56">
        <f>'Averaged Data'!J67</f>
        <v>14.111606719999999</v>
      </c>
      <c r="K56">
        <f>'Averaged Data'!K67</f>
        <v>2.6210670359999999</v>
      </c>
      <c r="L56">
        <f>'Averaged Data'!L67</f>
        <v>0.80615512700000003</v>
      </c>
      <c r="M56">
        <f>'Averaged Data'!M67</f>
        <v>10.33</v>
      </c>
      <c r="N56">
        <f>'Averaged Data'!N67</f>
        <v>0</v>
      </c>
      <c r="O56">
        <f>'Averaged Data'!O67</f>
        <v>0.27120161000000004</v>
      </c>
      <c r="P56">
        <f>'Averaged Data'!P67</f>
        <v>0.418914909</v>
      </c>
      <c r="Q56">
        <f>'Averaged Data'!Q67</f>
        <v>0.24131894965790412</v>
      </c>
      <c r="R56">
        <f>'Averaged Data'!R67</f>
        <v>0.43681252132359522</v>
      </c>
      <c r="S56">
        <f>'Averaged Data'!S67</f>
        <v>0</v>
      </c>
      <c r="T56">
        <f>'Averaged Data'!T67</f>
        <v>0</v>
      </c>
      <c r="U56">
        <f>'Averaged Data'!U67</f>
        <v>0</v>
      </c>
      <c r="V56">
        <f>'Averaged Data'!V67</f>
        <v>324.94304439419307</v>
      </c>
      <c r="W56">
        <f>'Averaged Data'!W67</f>
        <v>1.7102720420880384E-2</v>
      </c>
      <c r="X56">
        <f>'Averaged Data'!X67</f>
        <v>2.6417927860994436E-2</v>
      </c>
      <c r="Y56">
        <f>'Averaged Data'!Y67</f>
        <v>1.5218237562305186E-2</v>
      </c>
      <c r="Z56" s="10">
        <f>'Averaged Data'!Z67</f>
        <v>2.7546600584477724E-2</v>
      </c>
    </row>
    <row r="57" spans="1:26">
      <c r="A57" s="9" t="str">
        <f>'Averaged Data'!A70</f>
        <v>D4</v>
      </c>
      <c r="B57" t="str">
        <f>'Averaged Data'!B70</f>
        <v>V3</v>
      </c>
      <c r="C57">
        <f>'Averaged Data'!C70</f>
        <v>31</v>
      </c>
      <c r="D57">
        <f>'Averaged Data'!D70</f>
        <v>8</v>
      </c>
      <c r="E57">
        <f>'Averaged Data'!E70</f>
        <v>0.8</v>
      </c>
      <c r="J57">
        <f>'Averaged Data'!J70</f>
        <v>14.109015149999999</v>
      </c>
      <c r="K57">
        <f>'Averaged Data'!K70</f>
        <v>2.6201960629999999</v>
      </c>
      <c r="L57">
        <f>'Averaged Data'!L70</f>
        <v>0.80940050100000005</v>
      </c>
      <c r="M57">
        <f>'Averaged Data'!M70</f>
        <v>0</v>
      </c>
      <c r="N57">
        <f>'Averaged Data'!N70</f>
        <v>0</v>
      </c>
      <c r="O57">
        <f>'Averaged Data'!O70</f>
        <v>0.22767566100000003</v>
      </c>
      <c r="P57">
        <f>'Averaged Data'!P70</f>
        <v>1.0670078889999999</v>
      </c>
      <c r="Q57">
        <f>'Averaged Data'!Q70</f>
        <v>7.6961140456947214E-2</v>
      </c>
      <c r="R57">
        <f>'Averaged Data'!R70</f>
        <v>1.0883101693265522</v>
      </c>
      <c r="S57">
        <f>'Averaged Data'!S70</f>
        <v>0</v>
      </c>
      <c r="T57">
        <f>'Averaged Data'!T70</f>
        <v>0</v>
      </c>
      <c r="U57">
        <f>'Averaged Data'!U70</f>
        <v>0</v>
      </c>
      <c r="V57">
        <f>'Averaged Data'!V70</f>
        <v>327.56458550952556</v>
      </c>
      <c r="W57">
        <f>'Averaged Data'!W70</f>
        <v>1.4242946469015361E-2</v>
      </c>
      <c r="X57">
        <f>'Averaged Data'!X70</f>
        <v>6.6749937952498492E-2</v>
      </c>
      <c r="Y57">
        <f>'Averaged Data'!Y70</f>
        <v>4.8145392393202343E-3</v>
      </c>
      <c r="Z57" s="10">
        <f>'Averaged Data'!Z70</f>
        <v>6.8082567171741409E-2</v>
      </c>
    </row>
    <row r="58" spans="1:26">
      <c r="A58" s="9" t="str">
        <f>'Averaged Data'!A73</f>
        <v>D4</v>
      </c>
      <c r="B58" t="str">
        <f>'Averaged Data'!B73</f>
        <v>V3</v>
      </c>
      <c r="C58">
        <f>'Averaged Data'!C73</f>
        <v>34</v>
      </c>
      <c r="D58">
        <f>'Averaged Data'!D73</f>
        <v>12</v>
      </c>
      <c r="E58">
        <f>'Averaged Data'!E73</f>
        <v>0.8</v>
      </c>
      <c r="J58">
        <f>'Averaged Data'!J73</f>
        <v>14.099620699999999</v>
      </c>
      <c r="K58">
        <f>'Averaged Data'!K73</f>
        <v>2.6196735059999998</v>
      </c>
      <c r="L58">
        <f>'Averaged Data'!L73</f>
        <v>0.80926551300000005</v>
      </c>
      <c r="M58">
        <f>'Averaged Data'!M73</f>
        <v>13.03</v>
      </c>
      <c r="N58">
        <f>'Averaged Data'!N73</f>
        <v>0</v>
      </c>
      <c r="O58">
        <f>'Averaged Data'!O73</f>
        <v>0.68920274799999992</v>
      </c>
      <c r="P58">
        <f>'Averaged Data'!P73</f>
        <v>1.8834446790000001</v>
      </c>
      <c r="Q58">
        <f>'Averaged Data'!Q73</f>
        <v>0.28255184660274357</v>
      </c>
      <c r="R58">
        <f>'Averaged Data'!R73</f>
        <v>1.9855802025316289</v>
      </c>
      <c r="S58">
        <f>'Averaged Data'!S73</f>
        <v>0</v>
      </c>
      <c r="T58">
        <f>'Averaged Data'!T73</f>
        <v>0</v>
      </c>
      <c r="U58">
        <f>'Averaged Data'!U73</f>
        <v>0</v>
      </c>
      <c r="V58">
        <f>'Averaged Data'!V73</f>
        <v>327.45533526557665</v>
      </c>
      <c r="W58">
        <f>'Averaged Data'!W73</f>
        <v>4.3129567944566648E-2</v>
      </c>
      <c r="X58">
        <f>'Averaged Data'!X73</f>
        <v>0.11786394567997723</v>
      </c>
      <c r="Y58">
        <f>'Averaged Data'!Y73</f>
        <v>1.7681791172886912E-2</v>
      </c>
      <c r="Z58" s="10">
        <f>'Averaged Data'!Z73</f>
        <v>0.12425547707548359</v>
      </c>
    </row>
    <row r="59" spans="1:26">
      <c r="A59" s="11" t="str">
        <f>'Averaged Data'!A76</f>
        <v>D4</v>
      </c>
      <c r="B59" s="12" t="str">
        <f>'Averaged Data'!B76</f>
        <v>V3</v>
      </c>
      <c r="C59" s="12">
        <f>'Averaged Data'!C76</f>
        <v>37</v>
      </c>
      <c r="D59" s="12">
        <f>'Averaged Data'!D76</f>
        <v>16</v>
      </c>
      <c r="E59" s="12">
        <f>'Averaged Data'!E76</f>
        <v>0.8</v>
      </c>
      <c r="F59" s="12"/>
      <c r="G59" s="12"/>
      <c r="H59" s="12"/>
      <c r="I59" s="12"/>
      <c r="J59" s="12">
        <f>'Averaged Data'!J76</f>
        <v>14.098648860000001</v>
      </c>
      <c r="K59" s="12">
        <f>'Averaged Data'!K76</f>
        <v>2.616276751</v>
      </c>
      <c r="L59" s="12">
        <f>'Averaged Data'!L76</f>
        <v>0.80830082800000003</v>
      </c>
      <c r="M59" s="12">
        <f>'Averaged Data'!M76</f>
        <v>0</v>
      </c>
      <c r="N59" s="12">
        <f>'Averaged Data'!N76</f>
        <v>0</v>
      </c>
      <c r="O59" s="12">
        <f>'Averaged Data'!O76</f>
        <v>0.93636077299999987</v>
      </c>
      <c r="P59" s="12">
        <f>'Averaged Data'!P76</f>
        <v>2.9859152459999998</v>
      </c>
      <c r="Q59" s="12">
        <f>'Averaged Data'!Q76</f>
        <v>7.7057961562990607E-2</v>
      </c>
      <c r="R59" s="12">
        <f>'Averaged Data'!R76</f>
        <v>3.1283419608585237</v>
      </c>
      <c r="S59" s="12">
        <f>'Averaged Data'!S76</f>
        <v>0</v>
      </c>
      <c r="T59" s="12">
        <f>'Averaged Data'!T76</f>
        <v>0</v>
      </c>
      <c r="U59" s="12">
        <f>'Averaged Data'!U76</f>
        <v>0</v>
      </c>
      <c r="V59" s="12">
        <f>'Averaged Data'!V76</f>
        <v>326.6751142727428</v>
      </c>
      <c r="W59" s="12">
        <f>'Averaged Data'!W76</f>
        <v>5.8736401763915161E-2</v>
      </c>
      <c r="X59" s="12">
        <f>'Averaged Data'!X76</f>
        <v>0.18730164972647309</v>
      </c>
      <c r="Y59" s="12">
        <f>'Averaged Data'!Y76</f>
        <v>4.8337217021287467E-3</v>
      </c>
      <c r="Z59" s="13">
        <f>'Averaged Data'!Z76</f>
        <v>0.19623584794052498</v>
      </c>
    </row>
    <row r="60" spans="1:26">
      <c r="A60" s="9" t="str">
        <f>'Averaged Data'!A65</f>
        <v>D4</v>
      </c>
      <c r="B60" t="str">
        <f>'Averaged Data'!B65</f>
        <v>V3</v>
      </c>
      <c r="C60">
        <f>'Averaged Data'!C65</f>
        <v>26</v>
      </c>
      <c r="D60">
        <f>'Averaged Data'!D65</f>
        <v>0</v>
      </c>
      <c r="E60">
        <f>'Averaged Data'!E65</f>
        <v>1.2</v>
      </c>
      <c r="J60">
        <f>'Averaged Data'!J65</f>
        <v>14.11549407</v>
      </c>
      <c r="K60">
        <f>'Averaged Data'!K65</f>
        <v>2.621154142</v>
      </c>
      <c r="L60">
        <f>'Averaged Data'!L65</f>
        <v>1.196493461</v>
      </c>
      <c r="M60">
        <f>'Averaged Data'!M65</f>
        <v>9.52</v>
      </c>
      <c r="N60">
        <f>'Averaged Data'!N65</f>
        <v>0</v>
      </c>
      <c r="O60">
        <f>'Averaged Data'!O65</f>
        <v>0.54744192999999997</v>
      </c>
      <c r="P60">
        <f>'Averaged Data'!P65</f>
        <v>0.11643350400000001</v>
      </c>
      <c r="Q60">
        <f>'Averaged Data'!Q65</f>
        <v>0.54744192999999997</v>
      </c>
      <c r="R60">
        <f>'Averaged Data'!R65</f>
        <v>0.11643350400000001</v>
      </c>
      <c r="S60">
        <f>'Averaged Data'!S65</f>
        <v>0</v>
      </c>
      <c r="T60">
        <f>'Averaged Data'!T65</f>
        <v>0</v>
      </c>
      <c r="U60">
        <f>'Averaged Data'!U65</f>
        <v>0</v>
      </c>
      <c r="V60">
        <f>'Averaged Data'!V65</f>
        <v>715.79830110787918</v>
      </c>
      <c r="W60">
        <f>'Averaged Data'!W65</f>
        <v>1.5672113664844924E-2</v>
      </c>
      <c r="X60">
        <f>'Averaged Data'!X65</f>
        <v>3.3332468871797526E-3</v>
      </c>
      <c r="Y60">
        <f>'Averaged Data'!Y65</f>
        <v>1.5672113664844924E-2</v>
      </c>
      <c r="Z60" s="10">
        <f>'Averaged Data'!Z65</f>
        <v>3.3332468871797526E-3</v>
      </c>
    </row>
    <row r="61" spans="1:26">
      <c r="A61" s="9" t="str">
        <f>'Averaged Data'!A68</f>
        <v>D4</v>
      </c>
      <c r="B61" t="str">
        <f>'Averaged Data'!B68</f>
        <v>V3</v>
      </c>
      <c r="C61">
        <f>'Averaged Data'!C68</f>
        <v>29</v>
      </c>
      <c r="D61">
        <f>'Averaged Data'!D68</f>
        <v>4</v>
      </c>
      <c r="E61">
        <f>'Averaged Data'!E68</f>
        <v>1.2</v>
      </c>
      <c r="J61">
        <f>'Averaged Data'!J68</f>
        <v>14.11371237</v>
      </c>
      <c r="K61">
        <f>'Averaged Data'!K68</f>
        <v>2.6239411970000002</v>
      </c>
      <c r="L61">
        <f>'Averaged Data'!L68</f>
        <v>1.196628434</v>
      </c>
      <c r="M61">
        <f>'Averaged Data'!M68</f>
        <v>11.07</v>
      </c>
      <c r="N61" t="str">
        <f>'Averaged Data'!N68</f>
        <v>adjusted to 8degs</v>
      </c>
      <c r="O61">
        <f>'Averaged Data'!O68</f>
        <v>0.55746650600000003</v>
      </c>
      <c r="P61">
        <f>'Averaged Data'!P68</f>
        <v>0.99762362900000001</v>
      </c>
      <c r="Q61">
        <f>'Averaged Data'!Q68</f>
        <v>0.48651783912669511</v>
      </c>
      <c r="R61">
        <f>'Averaged Data'!R68</f>
        <v>1.0340803656691624</v>
      </c>
      <c r="S61">
        <f>'Averaged Data'!S68</f>
        <v>0</v>
      </c>
      <c r="T61">
        <f>'Averaged Data'!T68</f>
        <v>0</v>
      </c>
      <c r="U61">
        <f>'Averaged Data'!U68</f>
        <v>0</v>
      </c>
      <c r="V61">
        <f>'Averaged Data'!V68</f>
        <v>715.95980452864615</v>
      </c>
      <c r="W61">
        <f>'Averaged Data'!W68</f>
        <v>1.5955496248746145E-2</v>
      </c>
      <c r="X61">
        <f>'Averaged Data'!X68</f>
        <v>2.8553428589609315E-2</v>
      </c>
      <c r="Y61">
        <f>'Averaged Data'!Y68</f>
        <v>1.3924842970088796E-2</v>
      </c>
      <c r="Z61" s="10">
        <f>'Averaged Data'!Z68</f>
        <v>2.9596873027805476E-2</v>
      </c>
    </row>
    <row r="62" spans="1:26">
      <c r="A62" s="9" t="str">
        <f>'Averaged Data'!A71</f>
        <v>D4</v>
      </c>
      <c r="B62" t="str">
        <f>'Averaged Data'!B71</f>
        <v>V3</v>
      </c>
      <c r="C62">
        <f>'Averaged Data'!C71</f>
        <v>32</v>
      </c>
      <c r="D62">
        <f>'Averaged Data'!D71</f>
        <v>8</v>
      </c>
      <c r="E62">
        <f>'Averaged Data'!E71</f>
        <v>1.2</v>
      </c>
      <c r="J62">
        <f>'Averaged Data'!J71</f>
        <v>14.10245523</v>
      </c>
      <c r="K62">
        <f>'Averaged Data'!K71</f>
        <v>2.6229831510000001</v>
      </c>
      <c r="L62">
        <f>'Averaged Data'!L71</f>
        <v>1.1938263140000001</v>
      </c>
      <c r="M62">
        <f>'Averaged Data'!M71</f>
        <v>0</v>
      </c>
      <c r="N62" t="str">
        <f>'Averaged Data'!N71</f>
        <v>set model to 12 degrees</v>
      </c>
      <c r="O62">
        <f>'Averaged Data'!O71</f>
        <v>0.78753594500000013</v>
      </c>
      <c r="P62">
        <f>'Averaged Data'!P71</f>
        <v>2.382503238</v>
      </c>
      <c r="Q62">
        <f>'Averaged Data'!Q71</f>
        <v>0.44829133563986084</v>
      </c>
      <c r="R62">
        <f>'Averaged Data'!R71</f>
        <v>2.4689206998479638</v>
      </c>
      <c r="S62">
        <f>'Averaged Data'!S71</f>
        <v>0</v>
      </c>
      <c r="T62">
        <f>'Averaged Data'!T71</f>
        <v>0</v>
      </c>
      <c r="U62">
        <f>'Averaged Data'!U71</f>
        <v>0</v>
      </c>
      <c r="V62">
        <f>'Averaged Data'!V71</f>
        <v>712.61063399941338</v>
      </c>
      <c r="W62">
        <f>'Averaged Data'!W71</f>
        <v>2.2646352566006406E-2</v>
      </c>
      <c r="X62">
        <f>'Averaged Data'!X71</f>
        <v>6.8511169121810517E-2</v>
      </c>
      <c r="Y62">
        <f>'Averaged Data'!Y71</f>
        <v>1.2891047962498016E-2</v>
      </c>
      <c r="Z62" s="10">
        <f>'Averaged Data'!Z71</f>
        <v>7.0996186245528461E-2</v>
      </c>
    </row>
    <row r="63" spans="1:26">
      <c r="A63" s="9" t="str">
        <f>'Averaged Data'!A74</f>
        <v>D4</v>
      </c>
      <c r="B63" t="str">
        <f>'Averaged Data'!B74</f>
        <v>V3</v>
      </c>
      <c r="C63">
        <f>'Averaged Data'!C74</f>
        <v>35</v>
      </c>
      <c r="D63">
        <f>'Averaged Data'!D74</f>
        <v>12</v>
      </c>
      <c r="E63">
        <f>'Averaged Data'!E74</f>
        <v>1.2</v>
      </c>
      <c r="J63">
        <f>'Averaged Data'!J74</f>
        <v>14.0971911</v>
      </c>
      <c r="K63">
        <f>'Averaged Data'!K74</f>
        <v>2.6201960839999998</v>
      </c>
      <c r="L63">
        <f>'Averaged Data'!L74</f>
        <v>1.1966545070000001</v>
      </c>
      <c r="M63">
        <f>'Averaged Data'!M74</f>
        <v>14</v>
      </c>
      <c r="N63" t="str">
        <f>'Averaged Data'!N74</f>
        <v>Adjust to 16 degrees</v>
      </c>
      <c r="O63">
        <f>'Averaged Data'!O74</f>
        <v>1.2342780019999999</v>
      </c>
      <c r="P63">
        <f>'Averaged Data'!P74</f>
        <v>4.3945813600000001</v>
      </c>
      <c r="Q63">
        <f>'Averaged Data'!Q74</f>
        <v>0.29362122530100698</v>
      </c>
      <c r="R63">
        <f>'Averaged Data'!R74</f>
        <v>4.5551700398484911</v>
      </c>
      <c r="S63">
        <f>'Averaged Data'!S74</f>
        <v>0</v>
      </c>
      <c r="T63">
        <f>'Averaged Data'!T74</f>
        <v>0</v>
      </c>
      <c r="U63">
        <f>'Averaged Data'!U74</f>
        <v>0</v>
      </c>
      <c r="V63">
        <f>'Averaged Data'!V74</f>
        <v>715.99100456170663</v>
      </c>
      <c r="W63">
        <f>'Averaged Data'!W74</f>
        <v>3.5325279014754601E-2</v>
      </c>
      <c r="X63">
        <f>'Averaged Data'!X74</f>
        <v>0.12577378227878336</v>
      </c>
      <c r="Y63">
        <f>'Averaged Data'!Y74</f>
        <v>8.4034971794078803E-3</v>
      </c>
      <c r="Z63" s="10">
        <f>'Averaged Data'!Z74</f>
        <v>0.13036986185977475</v>
      </c>
    </row>
    <row r="64" spans="1:26">
      <c r="A64" s="11" t="str">
        <f>'Averaged Data'!A77</f>
        <v>D4</v>
      </c>
      <c r="B64" s="12" t="str">
        <f>'Averaged Data'!B77</f>
        <v>V3</v>
      </c>
      <c r="C64" s="12">
        <f>'Averaged Data'!C77</f>
        <v>38</v>
      </c>
      <c r="D64" s="12">
        <f>'Averaged Data'!D77</f>
        <v>16</v>
      </c>
      <c r="E64" s="12">
        <f>'Averaged Data'!E77</f>
        <v>1.2</v>
      </c>
      <c r="F64" s="12"/>
      <c r="G64" s="12"/>
      <c r="H64" s="12"/>
      <c r="I64" s="12"/>
      <c r="J64" s="12">
        <f>'Averaged Data'!J77</f>
        <v>14.096381239999999</v>
      </c>
      <c r="K64" s="12">
        <f>'Averaged Data'!K77</f>
        <v>2.6194993150000001</v>
      </c>
      <c r="L64" s="12">
        <f>'Averaged Data'!L77</f>
        <v>1.1968094140000001</v>
      </c>
      <c r="M64" s="12">
        <f>'Averaged Data'!M77</f>
        <v>0</v>
      </c>
      <c r="N64" s="12" t="str">
        <f>'Averaged Data'!N77</f>
        <v>Final test of the day. Model removed 15.37pm</v>
      </c>
      <c r="O64" s="12">
        <f>'Averaged Data'!O77</f>
        <v>2.0429319759999998</v>
      </c>
      <c r="P64" s="12">
        <f>'Averaged Data'!P77</f>
        <v>6.4728617480000006</v>
      </c>
      <c r="Q64" s="12">
        <f>'Averaged Data'!Q77</f>
        <v>0.17962975914866131</v>
      </c>
      <c r="R64" s="12">
        <f>'Averaged Data'!R77</f>
        <v>6.7852224294353896</v>
      </c>
      <c r="S64" s="12">
        <f>'Averaged Data'!S77</f>
        <v>0</v>
      </c>
      <c r="T64" s="12">
        <f>'Averaged Data'!T77</f>
        <v>0</v>
      </c>
      <c r="U64" s="12">
        <f>'Averaged Data'!U77</f>
        <v>0</v>
      </c>
      <c r="V64" s="12">
        <f>'Averaged Data'!V77</f>
        <v>716.17638671951181</v>
      </c>
      <c r="W64" s="12">
        <f>'Averaged Data'!W77</f>
        <v>5.8453979969504459E-2</v>
      </c>
      <c r="X64" s="12">
        <f>'Averaged Data'!X77</f>
        <v>0.1852066223486257</v>
      </c>
      <c r="Y64" s="12">
        <f>'Averaged Data'!Y77</f>
        <v>5.1397082558576387E-3</v>
      </c>
      <c r="Z64" s="13">
        <f>'Averaged Data'!Z77</f>
        <v>0.19414413237362177</v>
      </c>
    </row>
    <row r="65" spans="1:26">
      <c r="A65" s="15"/>
      <c r="B65" s="15"/>
      <c r="C65" s="15"/>
      <c r="D65" s="15">
        <v>-10</v>
      </c>
      <c r="E65" s="15">
        <v>1.2</v>
      </c>
      <c r="F65" s="15"/>
      <c r="G65" s="15"/>
      <c r="H65" s="15"/>
      <c r="I65" s="15"/>
      <c r="J65" s="15"/>
      <c r="K65" s="15"/>
      <c r="L65" s="15"/>
      <c r="M65" s="15"/>
      <c r="N65" s="15"/>
      <c r="O65" s="15">
        <v>0</v>
      </c>
      <c r="P65" s="15">
        <v>0</v>
      </c>
      <c r="Q65" s="15"/>
      <c r="R65" s="15"/>
      <c r="S65" s="15"/>
      <c r="T65" s="15"/>
      <c r="U65" s="15"/>
      <c r="V65" s="15"/>
      <c r="W65" s="15">
        <v>0</v>
      </c>
      <c r="X65" s="15">
        <v>0</v>
      </c>
      <c r="Y65" s="15">
        <v>0</v>
      </c>
      <c r="Z65" s="15">
        <v>0</v>
      </c>
    </row>
    <row r="67" spans="1:26">
      <c r="A67" s="15"/>
      <c r="B67" s="15"/>
      <c r="C67" s="15"/>
      <c r="D67" s="15">
        <v>12</v>
      </c>
      <c r="E67" s="15">
        <v>-10</v>
      </c>
      <c r="F67" s="15"/>
      <c r="G67" s="15"/>
      <c r="H67" s="15"/>
      <c r="I67" s="15"/>
      <c r="J67" s="15"/>
      <c r="K67" s="15"/>
      <c r="L67" s="15">
        <v>-10</v>
      </c>
      <c r="M67" s="15"/>
      <c r="N67" s="15"/>
      <c r="O67" s="15">
        <v>0</v>
      </c>
      <c r="P67" s="15">
        <v>0</v>
      </c>
      <c r="Q67" s="15"/>
      <c r="R67" s="15"/>
      <c r="S67" s="15"/>
      <c r="T67" s="15"/>
      <c r="U67" s="15"/>
      <c r="V67" s="15"/>
      <c r="W67" s="15">
        <v>0</v>
      </c>
      <c r="X67" s="15">
        <v>0</v>
      </c>
      <c r="Y67" s="15">
        <v>0</v>
      </c>
      <c r="Z67" s="15">
        <v>0</v>
      </c>
    </row>
    <row r="68" spans="1:26">
      <c r="A68" s="15"/>
      <c r="B68" s="15"/>
      <c r="C68" s="15"/>
      <c r="D68" s="15">
        <v>12</v>
      </c>
      <c r="E68" s="15">
        <v>-10</v>
      </c>
      <c r="F68" s="15"/>
      <c r="G68" s="15"/>
      <c r="H68" s="15"/>
      <c r="I68" s="15"/>
      <c r="J68" s="15"/>
      <c r="K68" s="15"/>
      <c r="L68" s="15">
        <v>-10</v>
      </c>
      <c r="M68" s="15"/>
      <c r="N68" s="15"/>
      <c r="O68" s="15">
        <v>0</v>
      </c>
      <c r="P68" s="15">
        <v>0</v>
      </c>
      <c r="Q68" s="15"/>
      <c r="R68" s="15"/>
      <c r="S68" s="15"/>
      <c r="T68" s="15"/>
      <c r="U68" s="15"/>
      <c r="V68" s="15"/>
      <c r="W68" s="15">
        <v>0</v>
      </c>
      <c r="X68" s="15">
        <v>0</v>
      </c>
      <c r="Y68" s="15">
        <v>0</v>
      </c>
      <c r="Z68" s="15">
        <v>0</v>
      </c>
    </row>
    <row r="69" spans="1:26">
      <c r="A69" s="15"/>
      <c r="B69" s="15"/>
      <c r="C69" s="15"/>
      <c r="D69" s="15">
        <v>24</v>
      </c>
      <c r="E69" s="15">
        <v>-10</v>
      </c>
      <c r="F69" s="15"/>
      <c r="G69" s="15"/>
      <c r="H69" s="15"/>
      <c r="I69" s="15"/>
      <c r="J69" s="15"/>
      <c r="K69" s="15"/>
      <c r="L69" s="15">
        <v>-10</v>
      </c>
      <c r="M69" s="15"/>
      <c r="N69" s="15"/>
      <c r="O69" s="15">
        <v>0</v>
      </c>
      <c r="P69" s="15">
        <v>0</v>
      </c>
      <c r="Q69" s="15"/>
      <c r="R69" s="15"/>
      <c r="S69" s="15"/>
      <c r="T69" s="15"/>
      <c r="U69" s="15"/>
      <c r="V69" s="15"/>
      <c r="W69" s="15">
        <v>0</v>
      </c>
      <c r="X69" s="15">
        <v>0</v>
      </c>
      <c r="Y69" s="15">
        <v>0</v>
      </c>
      <c r="Z69" s="15">
        <v>0</v>
      </c>
    </row>
    <row r="70" spans="1:26">
      <c r="A70" s="9" t="str">
        <f>'Averaged Data'!A31</f>
        <v>D2</v>
      </c>
      <c r="B70" t="str">
        <f>'Averaged Data'!B31</f>
        <v>V1</v>
      </c>
      <c r="C70">
        <f>'Averaged Data'!C31</f>
        <v>1</v>
      </c>
      <c r="D70">
        <f>'Averaged Data'!D31</f>
        <v>8</v>
      </c>
      <c r="E70">
        <f>'Averaged Data'!E31</f>
        <v>1.2</v>
      </c>
      <c r="J70">
        <f>'Averaged Data'!J31</f>
        <v>29.722713880000001</v>
      </c>
      <c r="K70">
        <f>'Averaged Data'!K31</f>
        <v>2.528618373</v>
      </c>
      <c r="L70">
        <f>'Averaged Data'!L31</f>
        <v>1.1942638269999999</v>
      </c>
      <c r="M70">
        <f>'Averaged Data'!M31</f>
        <v>0</v>
      </c>
      <c r="N70" t="str">
        <f>'Averaged Data'!N31</f>
        <v>Ian skimmed tank before tests. Previous test with model rotated bow to port, following tests with bow rotated to starboard.  Data recorded for only 5 sec, not 10 sec. After set to 16 degs</v>
      </c>
      <c r="O70">
        <f>'Averaged Data'!O31</f>
        <v>1.3806132279999999</v>
      </c>
      <c r="P70">
        <f>'Averaged Data'!P31</f>
        <v>0.83014633100000002</v>
      </c>
      <c r="Q70">
        <f>'Averaged Data'!Q31</f>
        <v>1.2516431558347343</v>
      </c>
      <c r="R70">
        <f>'Averaged Data'!R31</f>
        <v>1.0142116281395162</v>
      </c>
      <c r="S70">
        <f>'Averaged Data'!S31</f>
        <v>0</v>
      </c>
      <c r="T70">
        <f>'Averaged Data'!T31</f>
        <v>0</v>
      </c>
      <c r="U70">
        <f>'Averaged Data'!U31</f>
        <v>0</v>
      </c>
      <c r="V70">
        <f>'Averaged Data'!V31</f>
        <v>713.13304424034288</v>
      </c>
      <c r="W70">
        <f>'Averaged Data'!W31</f>
        <v>3.967177639660225E-2</v>
      </c>
      <c r="X70">
        <f>'Averaged Data'!X31</f>
        <v>2.3854167808894673E-2</v>
      </c>
      <c r="Y70">
        <f>'Averaged Data'!Y31</f>
        <v>3.5965834891025082E-2</v>
      </c>
      <c r="Z70" s="10">
        <f>'Averaged Data'!Z31</f>
        <v>2.9143264829260926E-2</v>
      </c>
    </row>
    <row r="71" spans="1:26">
      <c r="A71" s="9" t="str">
        <f>'Averaged Data'!A28</f>
        <v>D1</v>
      </c>
      <c r="B71" t="str">
        <f>'Averaged Data'!B28</f>
        <v>V1</v>
      </c>
      <c r="C71">
        <f>'Averaged Data'!C28</f>
        <v>12</v>
      </c>
      <c r="D71">
        <f>'Averaged Data'!D28</f>
        <v>8</v>
      </c>
      <c r="E71">
        <f>'Averaged Data'!E28</f>
        <v>0.4</v>
      </c>
      <c r="J71">
        <f>'Averaged Data'!J28</f>
        <v>29.711926330000001</v>
      </c>
      <c r="K71">
        <f>'Averaged Data'!K28</f>
        <v>2.5410251160000001</v>
      </c>
      <c r="L71">
        <f>'Averaged Data'!L28</f>
        <v>0.39705455299999998</v>
      </c>
      <c r="M71">
        <f>'Averaged Data'!M28</f>
        <v>15.4</v>
      </c>
      <c r="N71" s="31" t="s">
        <v>183</v>
      </c>
      <c r="O71">
        <f>'Averaged Data'!O28</f>
        <v>0.221632302</v>
      </c>
      <c r="P71">
        <f>'Averaged Data'!P28</f>
        <v>4.3571464000000011E-2</v>
      </c>
      <c r="Q71">
        <f>'Averaged Data'!Q28</f>
        <v>0.21341141591403864</v>
      </c>
      <c r="R71">
        <f>'Averaged Data'!R28</f>
        <v>7.3992684249780588E-2</v>
      </c>
      <c r="S71">
        <f>'Averaged Data'!S28</f>
        <v>0</v>
      </c>
      <c r="T71">
        <f>'Averaged Data'!T28</f>
        <v>0</v>
      </c>
      <c r="U71">
        <f>'Averaged Data'!U28</f>
        <v>0</v>
      </c>
      <c r="V71">
        <f>'Averaged Data'!V28</f>
        <v>78.826159029014889</v>
      </c>
      <c r="W71">
        <f>'Averaged Data'!W28</f>
        <v>5.7615968971863316E-2</v>
      </c>
      <c r="X71">
        <f>'Averaged Data'!X28</f>
        <v>1.1326923445855199E-2</v>
      </c>
      <c r="Y71">
        <f>'Averaged Data'!Y28</f>
        <v>5.5478851262144392E-2</v>
      </c>
      <c r="Z71" s="10">
        <f>'Averaged Data'!Z28</f>
        <v>1.9235283672143774E-2</v>
      </c>
    </row>
    <row r="72" spans="1:26">
      <c r="A72" s="9" t="str">
        <f>'Averaged Data'!A46</f>
        <v>D2</v>
      </c>
      <c r="B72" t="str">
        <f>'Averaged Data'!B46</f>
        <v>V2</v>
      </c>
      <c r="C72">
        <f>'Averaged Data'!C46</f>
        <v>8</v>
      </c>
      <c r="D72">
        <f>'Averaged Data'!D46</f>
        <v>8</v>
      </c>
      <c r="E72">
        <f>'Averaged Data'!E46</f>
        <v>1.6</v>
      </c>
      <c r="J72">
        <f>'Averaged Data'!J46</f>
        <v>25.702301089999999</v>
      </c>
      <c r="K72">
        <f>'Averaged Data'!K46</f>
        <v>2.526910768</v>
      </c>
      <c r="L72">
        <f>'Averaged Data'!L46</f>
        <v>1.60563737</v>
      </c>
      <c r="M72">
        <f>'Averaged Data'!M46</f>
        <v>0</v>
      </c>
      <c r="N72" t="str">
        <f>'Averaged Data'!N46</f>
        <v>Final run of the day</v>
      </c>
      <c r="O72">
        <f>'Averaged Data'!O46</f>
        <v>1.682721887</v>
      </c>
      <c r="P72">
        <f>'Averaged Data'!P46</f>
        <v>3.5476519550000001</v>
      </c>
      <c r="Q72">
        <f>'Averaged Data'!Q46</f>
        <v>1.1726080295642725</v>
      </c>
      <c r="R72">
        <f>'Averaged Data'!R46</f>
        <v>3.7473160731122697</v>
      </c>
      <c r="S72">
        <f>'Averaged Data'!S46</f>
        <v>0</v>
      </c>
      <c r="T72">
        <f>'Averaged Data'!T46</f>
        <v>0</v>
      </c>
      <c r="U72">
        <f>'Averaged Data'!U46</f>
        <v>0</v>
      </c>
      <c r="V72">
        <f>'Averaged Data'!V46</f>
        <v>1289.0356819702583</v>
      </c>
      <c r="W72">
        <f>'Averaged Data'!W46</f>
        <v>2.6750233809232239E-2</v>
      </c>
      <c r="X72">
        <f>'Averaged Data'!X46</f>
        <v>5.6397031501872801E-2</v>
      </c>
      <c r="Y72">
        <f>'Averaged Data'!Y46</f>
        <v>1.8640952613595736E-2</v>
      </c>
      <c r="Z72" s="10">
        <f>'Averaged Data'!Z46</f>
        <v>5.9571092458754721E-2</v>
      </c>
    </row>
    <row r="73" spans="1:26">
      <c r="A73" s="9" t="str">
        <f>'Averaged Data'!A47</f>
        <v>D3</v>
      </c>
      <c r="B73" t="str">
        <f>'Averaged Data'!B47</f>
        <v>V2</v>
      </c>
      <c r="C73">
        <f>'Averaged Data'!C47</f>
        <v>9</v>
      </c>
      <c r="D73">
        <f>'Averaged Data'!D47</f>
        <v>8</v>
      </c>
      <c r="E73">
        <f>'Averaged Data'!E47</f>
        <v>1.6</v>
      </c>
      <c r="J73">
        <f>'Averaged Data'!J47</f>
        <v>16.75177339</v>
      </c>
      <c r="K73">
        <f>'Averaged Data'!K47</f>
        <v>2.5100771169999998</v>
      </c>
      <c r="L73">
        <f>'Averaged Data'!L47</f>
        <v>1.603580877</v>
      </c>
      <c r="M73">
        <f>'Averaged Data'!M47</f>
        <v>0</v>
      </c>
      <c r="N73" t="str">
        <f>'Averaged Data'!N47</f>
        <v>dropped model again to even water line</v>
      </c>
      <c r="O73">
        <f>'Averaged Data'!O47</f>
        <v>1.805329822</v>
      </c>
      <c r="P73">
        <f>'Averaged Data'!P47</f>
        <v>3.344877672</v>
      </c>
      <c r="Q73">
        <f>'Averaged Data'!Q47</f>
        <v>1.3222434783291783</v>
      </c>
      <c r="R73">
        <f>'Averaged Data'!R47</f>
        <v>3.5635789020116628</v>
      </c>
      <c r="S73">
        <f>'Averaged Data'!S47</f>
        <v>0</v>
      </c>
      <c r="T73">
        <f>'Averaged Data'!T47</f>
        <v>0</v>
      </c>
      <c r="U73">
        <f>'Averaged Data'!U47</f>
        <v>0</v>
      </c>
      <c r="V73">
        <f>'Averaged Data'!V47</f>
        <v>1285.7358145400447</v>
      </c>
      <c r="W73">
        <f>'Averaged Data'!W47</f>
        <v>2.8772989868690917E-2</v>
      </c>
      <c r="X73">
        <f>'Averaged Data'!X47</f>
        <v>5.3309999201058153E-2</v>
      </c>
      <c r="Y73">
        <f>'Averaged Data'!Y47</f>
        <v>2.1073655208199451E-2</v>
      </c>
      <c r="Z73" s="10">
        <f>'Averaged Data'!Z47</f>
        <v>5.6795616177364776E-2</v>
      </c>
    </row>
    <row r="81" spans="1:46">
      <c r="A81" t="s">
        <v>107</v>
      </c>
      <c r="O81" t="s">
        <v>107</v>
      </c>
    </row>
    <row r="82" spans="1:46">
      <c r="A82" t="s">
        <v>106</v>
      </c>
      <c r="O82" t="s">
        <v>172</v>
      </c>
    </row>
    <row r="84" spans="1:46">
      <c r="B84" t="s">
        <v>92</v>
      </c>
      <c r="C84" s="21" t="s">
        <v>93</v>
      </c>
      <c r="P84" t="s">
        <v>92</v>
      </c>
      <c r="Q84" s="21" t="s">
        <v>93</v>
      </c>
    </row>
    <row r="85" spans="1:46">
      <c r="AT85" t="s">
        <v>109</v>
      </c>
    </row>
    <row r="86" spans="1:46">
      <c r="B86">
        <v>3</v>
      </c>
      <c r="C86">
        <f>B86*0.5144</f>
        <v>1.5431999999999999</v>
      </c>
      <c r="D86" t="s">
        <v>46</v>
      </c>
      <c r="P86">
        <v>3</v>
      </c>
      <c r="Q86">
        <f>P86*0.5144</f>
        <v>1.5431999999999999</v>
      </c>
      <c r="R86" t="s">
        <v>46</v>
      </c>
      <c r="AT86" t="s">
        <v>110</v>
      </c>
    </row>
    <row r="87" spans="1:46">
      <c r="A87" t="s">
        <v>94</v>
      </c>
      <c r="B87">
        <v>1000</v>
      </c>
      <c r="C87" t="s">
        <v>95</v>
      </c>
      <c r="O87" t="s">
        <v>94</v>
      </c>
      <c r="P87">
        <v>1000</v>
      </c>
      <c r="Q87" t="s">
        <v>95</v>
      </c>
      <c r="AT87" t="s">
        <v>111</v>
      </c>
    </row>
    <row r="88" spans="1:46">
      <c r="A88" t="s">
        <v>96</v>
      </c>
      <c r="B88">
        <v>1.5429999999999999</v>
      </c>
      <c r="C88" t="s">
        <v>46</v>
      </c>
      <c r="O88" t="s">
        <v>96</v>
      </c>
      <c r="P88">
        <v>1.5429999999999999</v>
      </c>
      <c r="Q88" t="s">
        <v>46</v>
      </c>
    </row>
    <row r="89" spans="1:46">
      <c r="A89" t="s">
        <v>97</v>
      </c>
      <c r="B89">
        <v>4.8800000000000003E-2</v>
      </c>
      <c r="C89" t="s">
        <v>98</v>
      </c>
      <c r="O89" t="s">
        <v>97</v>
      </c>
      <c r="P89">
        <v>4.8800000000000003E-2</v>
      </c>
      <c r="Q89" t="s">
        <v>98</v>
      </c>
    </row>
    <row r="91" spans="1:46">
      <c r="A91" t="s">
        <v>99</v>
      </c>
      <c r="O91" t="s">
        <v>99</v>
      </c>
    </row>
    <row r="92" spans="1:46">
      <c r="A92" t="s">
        <v>100</v>
      </c>
      <c r="O92" t="s">
        <v>100</v>
      </c>
    </row>
    <row r="94" spans="1:46">
      <c r="B94" s="22" t="s">
        <v>168</v>
      </c>
      <c r="P94" s="22" t="s">
        <v>173</v>
      </c>
    </row>
    <row r="97" spans="1:24" ht="21">
      <c r="A97" s="22"/>
      <c r="B97" s="22"/>
      <c r="C97" s="22"/>
      <c r="D97" s="22"/>
      <c r="E97" s="22" t="s">
        <v>108</v>
      </c>
      <c r="F97" s="22" t="s">
        <v>211</v>
      </c>
      <c r="G97" s="22"/>
      <c r="H97" t="s">
        <v>101</v>
      </c>
      <c r="I97" s="22"/>
      <c r="J97" s="22"/>
      <c r="O97" s="22"/>
      <c r="P97" s="22"/>
      <c r="Q97" s="22"/>
      <c r="R97" s="22"/>
      <c r="S97" s="22" t="s">
        <v>108</v>
      </c>
      <c r="T97" s="22" t="s">
        <v>211</v>
      </c>
      <c r="U97" s="22"/>
      <c r="V97" s="30" t="s">
        <v>176</v>
      </c>
      <c r="W97" s="22"/>
      <c r="X97" s="22"/>
    </row>
    <row r="98" spans="1:24" ht="18.75">
      <c r="A98" s="22"/>
      <c r="B98" s="22"/>
      <c r="C98" s="22"/>
      <c r="D98" s="22"/>
      <c r="E98" s="22"/>
      <c r="F98" s="22"/>
      <c r="G98" s="22"/>
      <c r="H98" s="22"/>
      <c r="I98" s="22"/>
      <c r="J98" s="22"/>
      <c r="O98" s="22"/>
      <c r="P98" s="22"/>
      <c r="Q98" s="22"/>
      <c r="R98" s="22"/>
      <c r="S98" s="22"/>
      <c r="T98" s="22"/>
      <c r="U98" s="22"/>
      <c r="V98" s="30" t="s">
        <v>171</v>
      </c>
      <c r="W98" s="22"/>
      <c r="X98" s="22"/>
    </row>
    <row r="99" spans="1:24">
      <c r="A99" s="22" t="s">
        <v>102</v>
      </c>
      <c r="B99" s="22">
        <v>0</v>
      </c>
      <c r="C99" s="22">
        <v>3</v>
      </c>
      <c r="D99" s="22">
        <v>6</v>
      </c>
      <c r="E99" s="22">
        <v>9</v>
      </c>
      <c r="F99" s="22">
        <v>12</v>
      </c>
      <c r="G99" s="22">
        <v>15</v>
      </c>
      <c r="H99" s="22">
        <v>18</v>
      </c>
      <c r="I99" s="22">
        <v>21</v>
      </c>
      <c r="J99" s="22">
        <v>24</v>
      </c>
      <c r="O99" s="22" t="s">
        <v>102</v>
      </c>
      <c r="P99" s="22">
        <v>0</v>
      </c>
      <c r="Q99" s="22">
        <v>3</v>
      </c>
      <c r="R99" s="22">
        <v>6</v>
      </c>
      <c r="S99" s="22">
        <v>9</v>
      </c>
      <c r="T99" s="22">
        <v>12</v>
      </c>
      <c r="U99" s="22">
        <v>15</v>
      </c>
      <c r="V99" s="22">
        <v>18</v>
      </c>
      <c r="W99" s="22">
        <v>21</v>
      </c>
      <c r="X99" s="22">
        <v>24</v>
      </c>
    </row>
    <row r="100" spans="1:24">
      <c r="A100" s="22" t="s">
        <v>103</v>
      </c>
      <c r="B100" s="22"/>
      <c r="C100" s="22"/>
      <c r="D100" s="22"/>
      <c r="E100" s="22"/>
      <c r="F100" s="22"/>
      <c r="G100" s="22"/>
      <c r="H100" s="22"/>
      <c r="I100" s="22"/>
      <c r="J100" s="22"/>
      <c r="O100" s="22" t="s">
        <v>103</v>
      </c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>
      <c r="A101" s="22" t="s">
        <v>46</v>
      </c>
      <c r="B101" s="22"/>
      <c r="C101" s="22"/>
      <c r="D101" s="22"/>
      <c r="E101" s="22"/>
      <c r="F101" s="22"/>
      <c r="G101" s="22"/>
      <c r="H101" s="22"/>
      <c r="I101" s="22"/>
      <c r="J101" s="22"/>
      <c r="O101" s="22" t="s">
        <v>46</v>
      </c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>
      <c r="A102" s="22">
        <f>C86</f>
        <v>1.5431999999999999</v>
      </c>
      <c r="B102" s="23">
        <f>0.0072*(B$99+0.042*B$99^2)</f>
        <v>0</v>
      </c>
      <c r="C102" s="23">
        <f t="shared" ref="C102:J102" si="1">0.0072*(C$99+0.042*C$99^2)</f>
        <v>2.4321599999999999E-2</v>
      </c>
      <c r="D102" s="23">
        <f t="shared" si="1"/>
        <v>5.40864E-2</v>
      </c>
      <c r="E102" s="23">
        <f t="shared" si="1"/>
        <v>8.929440000000001E-2</v>
      </c>
      <c r="F102" s="23">
        <f t="shared" si="1"/>
        <v>0.12994560000000002</v>
      </c>
      <c r="G102" s="23">
        <f t="shared" si="1"/>
        <v>0.17604</v>
      </c>
      <c r="H102" s="23">
        <f t="shared" si="1"/>
        <v>0.22757759999999999</v>
      </c>
      <c r="I102" s="23">
        <f t="shared" si="1"/>
        <v>0.28455840000000004</v>
      </c>
      <c r="J102" s="23">
        <f t="shared" si="1"/>
        <v>0.34698239999999997</v>
      </c>
      <c r="O102" s="22">
        <f>Q86</f>
        <v>1.5431999999999999</v>
      </c>
      <c r="P102" s="1">
        <f>0.000247*P99^2-0.000583*P99+0.00638</f>
        <v>6.3800000000000003E-3</v>
      </c>
      <c r="Q102" s="1">
        <f t="shared" ref="Q102:X102" si="2">0.000247*Q99^2-0.000583*Q99+0.00638</f>
        <v>6.8539999999999998E-3</v>
      </c>
      <c r="R102" s="1">
        <f t="shared" si="2"/>
        <v>1.1774E-2</v>
      </c>
      <c r="S102" s="1">
        <f t="shared" si="2"/>
        <v>2.1139999999999999E-2</v>
      </c>
      <c r="T102" s="1">
        <f t="shared" si="2"/>
        <v>3.4951999999999997E-2</v>
      </c>
      <c r="U102" s="1">
        <f t="shared" si="2"/>
        <v>5.3209999999999993E-2</v>
      </c>
      <c r="V102" s="1">
        <f t="shared" si="2"/>
        <v>7.5913999999999995E-2</v>
      </c>
      <c r="W102" s="1">
        <f t="shared" si="2"/>
        <v>0.10306399999999999</v>
      </c>
      <c r="X102" s="1">
        <f t="shared" si="2"/>
        <v>0.13465999999999997</v>
      </c>
    </row>
    <row r="103" spans="1:24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O103" s="22"/>
      <c r="P103" s="23"/>
      <c r="Q103" s="23"/>
      <c r="R103" s="23"/>
      <c r="S103" s="23"/>
      <c r="T103" s="23"/>
      <c r="U103" s="23"/>
      <c r="V103" s="23"/>
      <c r="W103" s="23"/>
      <c r="X103" s="23"/>
    </row>
    <row r="104" spans="1:24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O104" s="22"/>
      <c r="P104" s="23"/>
      <c r="Q104" s="23"/>
      <c r="R104" s="23"/>
      <c r="S104" s="23"/>
      <c r="T104" s="23"/>
      <c r="U104" s="23"/>
      <c r="V104" s="23"/>
      <c r="W104" s="23"/>
      <c r="X104" s="23"/>
    </row>
    <row r="105" spans="1:24" ht="21">
      <c r="E105" s="22" t="s">
        <v>108</v>
      </c>
      <c r="F105" s="22" t="s">
        <v>210</v>
      </c>
      <c r="G105" s="22"/>
      <c r="H105" t="s">
        <v>104</v>
      </c>
      <c r="S105" s="22" t="s">
        <v>108</v>
      </c>
      <c r="T105" s="22" t="s">
        <v>210</v>
      </c>
      <c r="U105" s="22"/>
      <c r="V105" s="30" t="s">
        <v>175</v>
      </c>
    </row>
    <row r="106" spans="1:24" ht="18.75">
      <c r="A106" s="22" t="str">
        <f>A99</f>
        <v>leeway angle</v>
      </c>
      <c r="B106" s="22"/>
      <c r="C106" s="22"/>
      <c r="D106" s="22"/>
      <c r="E106" s="22"/>
      <c r="F106" s="22"/>
      <c r="G106" s="22"/>
      <c r="H106" s="22"/>
      <c r="I106" s="22"/>
      <c r="J106" s="22"/>
      <c r="O106" s="22" t="str">
        <f>O99</f>
        <v>leeway angle</v>
      </c>
      <c r="P106" s="22"/>
      <c r="Q106" s="22"/>
      <c r="R106" s="22"/>
      <c r="S106" s="22"/>
      <c r="T106" s="22"/>
      <c r="U106" s="22"/>
      <c r="V106" s="30" t="s">
        <v>170</v>
      </c>
      <c r="W106" s="22"/>
      <c r="X106" s="22"/>
    </row>
    <row r="107" spans="1:24">
      <c r="A107" s="22" t="s">
        <v>45</v>
      </c>
      <c r="B107" s="22">
        <f t="shared" ref="B107:J107" si="3">B99</f>
        <v>0</v>
      </c>
      <c r="C107" s="22">
        <f t="shared" si="3"/>
        <v>3</v>
      </c>
      <c r="D107" s="22">
        <f t="shared" si="3"/>
        <v>6</v>
      </c>
      <c r="E107" s="22">
        <f t="shared" si="3"/>
        <v>9</v>
      </c>
      <c r="F107" s="22">
        <f t="shared" si="3"/>
        <v>12</v>
      </c>
      <c r="G107" s="22">
        <f t="shared" si="3"/>
        <v>15</v>
      </c>
      <c r="H107" s="22">
        <f t="shared" si="3"/>
        <v>18</v>
      </c>
      <c r="I107" s="22">
        <f t="shared" si="3"/>
        <v>21</v>
      </c>
      <c r="J107" s="22">
        <f t="shared" si="3"/>
        <v>24</v>
      </c>
      <c r="O107" s="22" t="s">
        <v>45</v>
      </c>
      <c r="P107" s="22">
        <f t="shared" ref="P107:X107" si="4">P99</f>
        <v>0</v>
      </c>
      <c r="Q107" s="22">
        <f t="shared" si="4"/>
        <v>3</v>
      </c>
      <c r="R107" s="22">
        <f t="shared" si="4"/>
        <v>6</v>
      </c>
      <c r="S107" s="22">
        <f t="shared" si="4"/>
        <v>9</v>
      </c>
      <c r="T107" s="22">
        <f t="shared" si="4"/>
        <v>12</v>
      </c>
      <c r="U107" s="22">
        <f t="shared" si="4"/>
        <v>15</v>
      </c>
      <c r="V107" s="22">
        <f t="shared" si="4"/>
        <v>18</v>
      </c>
      <c r="W107" s="22">
        <f t="shared" si="4"/>
        <v>21</v>
      </c>
      <c r="X107" s="22">
        <f t="shared" si="4"/>
        <v>24</v>
      </c>
    </row>
    <row r="108" spans="1:24">
      <c r="A108" s="22" t="str">
        <f>A100</f>
        <v>V</v>
      </c>
      <c r="B108" s="22"/>
      <c r="C108" s="22"/>
      <c r="D108" s="22"/>
      <c r="E108" s="22"/>
      <c r="F108" s="22"/>
      <c r="G108" s="22"/>
      <c r="H108" s="22"/>
      <c r="I108" s="22"/>
      <c r="J108" s="22"/>
      <c r="O108" s="22" t="str">
        <f>O100</f>
        <v>V</v>
      </c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>
      <c r="A109" s="22" t="str">
        <f>A101</f>
        <v>m/s</v>
      </c>
      <c r="B109" s="22"/>
      <c r="C109" s="22"/>
      <c r="D109" s="22"/>
      <c r="E109" s="22"/>
      <c r="F109" s="22"/>
      <c r="G109" s="22"/>
      <c r="H109" s="22"/>
      <c r="I109" s="22"/>
      <c r="J109" s="22"/>
      <c r="O109" s="22" t="str">
        <f>O101</f>
        <v>m/s</v>
      </c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>
      <c r="A110" s="22">
        <f>A102</f>
        <v>1.5431999999999999</v>
      </c>
      <c r="B110" s="23">
        <f>0.005*(B$107+0.06*B$107^2)</f>
        <v>0</v>
      </c>
      <c r="C110" s="23">
        <f t="shared" ref="C110:J110" si="5">0.005*(C$107+0.06*C$107^2)</f>
        <v>1.77E-2</v>
      </c>
      <c r="D110" s="23">
        <f t="shared" si="5"/>
        <v>4.0800000000000003E-2</v>
      </c>
      <c r="E110" s="23">
        <f t="shared" si="5"/>
        <v>6.93E-2</v>
      </c>
      <c r="F110" s="23">
        <f t="shared" si="5"/>
        <v>0.1032</v>
      </c>
      <c r="G110" s="23">
        <f t="shared" si="5"/>
        <v>0.14250000000000002</v>
      </c>
      <c r="H110" s="23">
        <f t="shared" si="5"/>
        <v>0.18720000000000001</v>
      </c>
      <c r="I110" s="23">
        <f t="shared" si="5"/>
        <v>0.23729999999999998</v>
      </c>
      <c r="J110" s="23">
        <f t="shared" si="5"/>
        <v>0.2928</v>
      </c>
      <c r="O110" s="22">
        <f>O102</f>
        <v>1.5431999999999999</v>
      </c>
      <c r="P110" s="1">
        <f>0.000233*P107^2-0.00113*P107+0.0107</f>
        <v>1.0699999999999999E-2</v>
      </c>
      <c r="Q110" s="1">
        <f t="shared" ref="Q110:X110" si="6">0.000233*Q107^2-0.00113*Q107+0.0107</f>
        <v>9.4069999999999987E-3</v>
      </c>
      <c r="R110" s="1">
        <f t="shared" si="6"/>
        <v>1.2307999999999999E-2</v>
      </c>
      <c r="S110" s="1">
        <f t="shared" si="6"/>
        <v>1.9403000000000004E-2</v>
      </c>
      <c r="T110" s="1">
        <f t="shared" si="6"/>
        <v>3.0691999999999997E-2</v>
      </c>
      <c r="U110" s="1">
        <f t="shared" si="6"/>
        <v>4.6175000000000001E-2</v>
      </c>
      <c r="V110" s="1">
        <f t="shared" si="6"/>
        <v>6.5852000000000008E-2</v>
      </c>
      <c r="W110" s="1">
        <f t="shared" si="6"/>
        <v>8.9722999999999997E-2</v>
      </c>
      <c r="X110" s="1">
        <f t="shared" si="6"/>
        <v>0.11778799999999999</v>
      </c>
    </row>
    <row r="111" spans="1:24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O111" s="22"/>
      <c r="P111" s="23"/>
      <c r="Q111" s="23"/>
      <c r="R111" s="23"/>
      <c r="S111" s="23"/>
      <c r="T111" s="23"/>
      <c r="U111" s="23"/>
      <c r="V111" s="23"/>
      <c r="W111" s="23"/>
      <c r="X111" s="23"/>
    </row>
    <row r="112" spans="1:24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O112" s="22"/>
      <c r="P112" s="23"/>
      <c r="Q112" s="23"/>
      <c r="R112" s="23"/>
      <c r="S112" s="23"/>
      <c r="T112" s="23"/>
      <c r="U112" s="23"/>
      <c r="V112" s="23"/>
      <c r="W112" s="23"/>
      <c r="X112" s="23"/>
    </row>
    <row r="113" spans="1:24" ht="21">
      <c r="E113" s="22" t="s">
        <v>108</v>
      </c>
      <c r="F113" s="22" t="s">
        <v>209</v>
      </c>
      <c r="G113" s="22"/>
      <c r="H113" t="s">
        <v>105</v>
      </c>
      <c r="S113" s="22" t="s">
        <v>108</v>
      </c>
      <c r="T113" s="22" t="s">
        <v>209</v>
      </c>
      <c r="U113" s="22"/>
      <c r="V113" s="30" t="s">
        <v>174</v>
      </c>
    </row>
    <row r="114" spans="1:24" ht="18.75">
      <c r="V114" s="30" t="s">
        <v>169</v>
      </c>
    </row>
    <row r="115" spans="1:24">
      <c r="A115" s="22" t="str">
        <f t="shared" ref="A115:J115" si="7">A99</f>
        <v>leeway angle</v>
      </c>
      <c r="B115" s="22">
        <f t="shared" si="7"/>
        <v>0</v>
      </c>
      <c r="C115" s="22">
        <f t="shared" si="7"/>
        <v>3</v>
      </c>
      <c r="D115" s="22">
        <f t="shared" si="7"/>
        <v>6</v>
      </c>
      <c r="E115" s="22">
        <f t="shared" si="7"/>
        <v>9</v>
      </c>
      <c r="F115" s="22">
        <f t="shared" si="7"/>
        <v>12</v>
      </c>
      <c r="G115" s="22">
        <f t="shared" si="7"/>
        <v>15</v>
      </c>
      <c r="H115" s="22">
        <f t="shared" si="7"/>
        <v>18</v>
      </c>
      <c r="I115" s="22">
        <f t="shared" si="7"/>
        <v>21</v>
      </c>
      <c r="J115" s="22">
        <f t="shared" si="7"/>
        <v>24</v>
      </c>
      <c r="O115" s="22" t="str">
        <f t="shared" ref="O115:X115" si="8">O99</f>
        <v>leeway angle</v>
      </c>
      <c r="P115" s="22">
        <f t="shared" si="8"/>
        <v>0</v>
      </c>
      <c r="Q115" s="22">
        <f t="shared" si="8"/>
        <v>3</v>
      </c>
      <c r="R115" s="22">
        <f t="shared" si="8"/>
        <v>6</v>
      </c>
      <c r="S115" s="22">
        <f t="shared" si="8"/>
        <v>9</v>
      </c>
      <c r="T115" s="22">
        <f t="shared" si="8"/>
        <v>12</v>
      </c>
      <c r="U115" s="22">
        <f t="shared" si="8"/>
        <v>15</v>
      </c>
      <c r="V115" s="22">
        <f t="shared" si="8"/>
        <v>18</v>
      </c>
      <c r="W115" s="22">
        <f t="shared" si="8"/>
        <v>21</v>
      </c>
      <c r="X115" s="22">
        <f t="shared" si="8"/>
        <v>24</v>
      </c>
    </row>
    <row r="116" spans="1:24">
      <c r="A116" s="22" t="str">
        <f>A100</f>
        <v>V</v>
      </c>
      <c r="B116" s="22"/>
      <c r="C116" s="22"/>
      <c r="D116" s="22"/>
      <c r="E116" s="22"/>
      <c r="F116" s="22"/>
      <c r="G116" s="22"/>
      <c r="H116" s="22"/>
      <c r="I116" s="22"/>
      <c r="J116" s="22"/>
      <c r="O116" s="22" t="str">
        <f>O100</f>
        <v>V</v>
      </c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>
      <c r="A117" s="22" t="str">
        <f>A101</f>
        <v>m/s</v>
      </c>
      <c r="B117" s="22"/>
      <c r="C117" s="22"/>
      <c r="D117" s="22"/>
      <c r="E117" s="22"/>
      <c r="F117" s="22"/>
      <c r="G117" s="22"/>
      <c r="H117" s="22"/>
      <c r="I117" s="22"/>
      <c r="J117" s="22"/>
      <c r="O117" s="22" t="str">
        <f>O101</f>
        <v>m/s</v>
      </c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>
      <c r="A118" s="22">
        <f>A102</f>
        <v>1.5431999999999999</v>
      </c>
      <c r="B118" s="23">
        <f>0.0035*(B$115-4*10^-7*B$115^2)</f>
        <v>0</v>
      </c>
      <c r="C118" s="23">
        <f t="shared" ref="C118:J118" si="9">0.0035*(C$115-4*10^-7*C$115^2)</f>
        <v>1.0499987400000001E-2</v>
      </c>
      <c r="D118" s="23">
        <f t="shared" si="9"/>
        <v>2.0999949599999998E-2</v>
      </c>
      <c r="E118" s="23">
        <f t="shared" si="9"/>
        <v>3.1499886599999999E-2</v>
      </c>
      <c r="F118" s="23">
        <f t="shared" si="9"/>
        <v>4.1999798400000003E-2</v>
      </c>
      <c r="G118" s="23">
        <f t="shared" si="9"/>
        <v>5.2499684999999997E-2</v>
      </c>
      <c r="H118" s="23">
        <f t="shared" si="9"/>
        <v>6.2999546399999995E-2</v>
      </c>
      <c r="I118" s="23">
        <f t="shared" si="9"/>
        <v>7.3499382599999996E-2</v>
      </c>
      <c r="J118" s="23">
        <f t="shared" si="9"/>
        <v>8.3999193600000008E-2</v>
      </c>
      <c r="O118" s="22">
        <f>O102</f>
        <v>1.5431999999999999</v>
      </c>
      <c r="P118" s="1">
        <f>0.0000525*P115^2+0.000115*P115+0.0103</f>
        <v>1.03E-2</v>
      </c>
      <c r="Q118" s="1">
        <f t="shared" ref="Q118:X118" si="10">0.0000525*Q115^2+0.000115*Q115+0.0103</f>
        <v>1.1117500000000001E-2</v>
      </c>
      <c r="R118" s="1">
        <f t="shared" si="10"/>
        <v>1.2880000000000001E-2</v>
      </c>
      <c r="S118" s="1">
        <f t="shared" si="10"/>
        <v>1.5587500000000001E-2</v>
      </c>
      <c r="T118" s="1">
        <f t="shared" si="10"/>
        <v>1.924E-2</v>
      </c>
      <c r="U118" s="1">
        <f t="shared" si="10"/>
        <v>2.3837500000000001E-2</v>
      </c>
      <c r="V118" s="1">
        <f t="shared" si="10"/>
        <v>2.938E-2</v>
      </c>
      <c r="W118" s="1">
        <f t="shared" si="10"/>
        <v>3.5867499999999997E-2</v>
      </c>
      <c r="X118" s="1">
        <f t="shared" si="10"/>
        <v>4.3300000000000005E-2</v>
      </c>
    </row>
    <row r="131" spans="15:24" ht="18.75">
      <c r="O131" s="29"/>
      <c r="T131" s="29"/>
      <c r="X131" s="29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3"/>
  <sheetViews>
    <sheetView tabSelected="1" topLeftCell="T1" zoomScale="98" zoomScaleNormal="98" workbookViewId="0">
      <selection activeCell="V15" sqref="V15"/>
    </sheetView>
  </sheetViews>
  <sheetFormatPr defaultColWidth="8.85546875" defaultRowHeight="15"/>
  <cols>
    <col min="8" max="8" width="35" customWidth="1"/>
    <col min="15" max="15" width="12" style="25" bestFit="1" customWidth="1"/>
    <col min="16" max="16" width="11" bestFit="1" customWidth="1"/>
    <col min="26" max="26" width="12.28515625" bestFit="1" customWidth="1"/>
    <col min="27" max="28" width="9" bestFit="1" customWidth="1"/>
  </cols>
  <sheetData>
    <row r="1" spans="1:48">
      <c r="A1" t="str">
        <f>'Results vs speed'!A1</f>
        <v>Edited 23/10/13, 24/10/13</v>
      </c>
      <c r="E1" t="s">
        <v>146</v>
      </c>
      <c r="R1" t="s">
        <v>126</v>
      </c>
      <c r="AA1" t="s">
        <v>214</v>
      </c>
    </row>
    <row r="2" spans="1:48">
      <c r="E2" t="s">
        <v>112</v>
      </c>
      <c r="K2" t="s">
        <v>115</v>
      </c>
      <c r="M2" t="s">
        <v>116</v>
      </c>
      <c r="N2" s="6" t="s">
        <v>30</v>
      </c>
      <c r="O2" s="26" t="s">
        <v>141</v>
      </c>
      <c r="P2" t="s">
        <v>120</v>
      </c>
      <c r="Q2" t="s">
        <v>127</v>
      </c>
      <c r="R2" t="s">
        <v>128</v>
      </c>
      <c r="S2" t="s">
        <v>129</v>
      </c>
      <c r="Y2" t="s">
        <v>198</v>
      </c>
      <c r="AA2" t="s">
        <v>212</v>
      </c>
      <c r="AB2" t="s">
        <v>213</v>
      </c>
      <c r="AC2" t="s">
        <v>205</v>
      </c>
      <c r="AD2" t="s">
        <v>206</v>
      </c>
      <c r="AE2" t="s">
        <v>207</v>
      </c>
      <c r="AF2" t="s">
        <v>208</v>
      </c>
    </row>
    <row r="3" spans="1:48">
      <c r="E3" t="s">
        <v>113</v>
      </c>
      <c r="K3">
        <v>9.81</v>
      </c>
      <c r="M3">
        <v>1.1599999999999999</v>
      </c>
      <c r="N3" s="9" t="s">
        <v>201</v>
      </c>
      <c r="O3" s="27">
        <v>0.16300000000000001</v>
      </c>
      <c r="P3">
        <v>1000</v>
      </c>
      <c r="Q3">
        <f>2.414*10^-5</f>
        <v>2.4140000000000003E-5</v>
      </c>
      <c r="R3">
        <v>247.8</v>
      </c>
      <c r="S3">
        <v>140</v>
      </c>
      <c r="Y3" t="s">
        <v>199</v>
      </c>
      <c r="Z3" t="s">
        <v>157</v>
      </c>
      <c r="AI3" t="s">
        <v>187</v>
      </c>
    </row>
    <row r="4" spans="1:48">
      <c r="K4" t="s">
        <v>118</v>
      </c>
      <c r="M4" t="s">
        <v>117</v>
      </c>
      <c r="N4" s="9" t="s">
        <v>24</v>
      </c>
      <c r="O4" s="27">
        <v>0.129</v>
      </c>
      <c r="P4" t="s">
        <v>4</v>
      </c>
      <c r="Y4" t="s">
        <v>200</v>
      </c>
      <c r="Z4" t="s">
        <v>153</v>
      </c>
      <c r="AI4" t="s">
        <v>188</v>
      </c>
    </row>
    <row r="5" spans="1:48">
      <c r="E5" t="s">
        <v>221</v>
      </c>
      <c r="N5" s="11" t="s">
        <v>29</v>
      </c>
      <c r="O5" s="28">
        <v>0.111</v>
      </c>
      <c r="Z5" t="s">
        <v>154</v>
      </c>
      <c r="AI5" t="s">
        <v>189</v>
      </c>
    </row>
    <row r="6" spans="1:48">
      <c r="Z6" t="s">
        <v>155</v>
      </c>
      <c r="AI6" t="s">
        <v>190</v>
      </c>
    </row>
    <row r="7" spans="1:48">
      <c r="Z7" t="s">
        <v>156</v>
      </c>
      <c r="AI7" t="s">
        <v>191</v>
      </c>
    </row>
    <row r="8" spans="1:48">
      <c r="AI8" t="s">
        <v>192</v>
      </c>
    </row>
    <row r="9" spans="1:48">
      <c r="M9" t="s">
        <v>140</v>
      </c>
      <c r="W9" t="s">
        <v>145</v>
      </c>
      <c r="AA9" t="s">
        <v>163</v>
      </c>
    </row>
    <row r="10" spans="1:48">
      <c r="F10" t="str">
        <f>'Results vs speed'!M10</f>
        <v>Time</v>
      </c>
      <c r="G10" t="str">
        <f>'Results vs speed'!N10</f>
        <v>Comment</v>
      </c>
      <c r="I10" t="str">
        <f>'Results vs speed'!Q10</f>
        <v>Calc</v>
      </c>
      <c r="J10" t="str">
        <f>'Results vs speed'!L10</f>
        <v>Measured</v>
      </c>
      <c r="K10" t="str">
        <f>'Results vs speed'!O10</f>
        <v>Calc</v>
      </c>
      <c r="W10">
        <v>1</v>
      </c>
      <c r="X10" t="s">
        <v>147</v>
      </c>
      <c r="AA10" t="s">
        <v>164</v>
      </c>
      <c r="AI10" t="s">
        <v>193</v>
      </c>
    </row>
    <row r="11" spans="1:48">
      <c r="E11" t="s">
        <v>121</v>
      </c>
      <c r="K11" t="str">
        <f>'Results vs speed'!O12</f>
        <v>Total Drag</v>
      </c>
      <c r="X11" t="s">
        <v>149</v>
      </c>
      <c r="AA11" t="s">
        <v>165</v>
      </c>
      <c r="AV11" t="s">
        <v>220</v>
      </c>
    </row>
    <row r="12" spans="1:48">
      <c r="A12" t="str">
        <f>'Results vs speed'!A12</f>
        <v>Day</v>
      </c>
      <c r="B12" t="str">
        <f>'Results vs speed'!B12</f>
        <v>Model</v>
      </c>
      <c r="C12" t="str">
        <f>'Results vs speed'!C12</f>
        <v>Test</v>
      </c>
      <c r="D12" t="str">
        <f>'Results vs speed'!D12</f>
        <v>Yaw</v>
      </c>
      <c r="E12" t="str">
        <f>'Results vs speed'!E12</f>
        <v>Speed</v>
      </c>
      <c r="F12">
        <f>'Results vs speed'!M12</f>
        <v>0</v>
      </c>
      <c r="G12">
        <f>'Results vs speed'!N12</f>
        <v>0</v>
      </c>
      <c r="I12" t="str">
        <f>'Results vs speed'!Q12</f>
        <v>Resistance</v>
      </c>
      <c r="J12" t="str">
        <f>'Results vs speed'!L12</f>
        <v>Velocity</v>
      </c>
      <c r="K12" t="s">
        <v>119</v>
      </c>
      <c r="L12" t="s">
        <v>114</v>
      </c>
      <c r="M12" t="s">
        <v>122</v>
      </c>
      <c r="N12" t="s">
        <v>124</v>
      </c>
      <c r="O12" s="25" t="s">
        <v>125</v>
      </c>
      <c r="P12" t="s">
        <v>123</v>
      </c>
      <c r="Q12" t="s">
        <v>133</v>
      </c>
      <c r="R12" t="s">
        <v>130</v>
      </c>
      <c r="S12" t="s">
        <v>131</v>
      </c>
      <c r="U12" t="s">
        <v>134</v>
      </c>
      <c r="V12" t="s">
        <v>136</v>
      </c>
      <c r="Y12" t="s">
        <v>161</v>
      </c>
      <c r="Z12" t="s">
        <v>162</v>
      </c>
      <c r="AA12">
        <v>4.8800000000000003E-2</v>
      </c>
      <c r="AB12" t="s">
        <v>166</v>
      </c>
      <c r="AH12" t="s">
        <v>217</v>
      </c>
    </row>
    <row r="13" spans="1:48">
      <c r="A13">
        <f>'Results vs speed'!A13</f>
        <v>0</v>
      </c>
      <c r="B13" t="str">
        <f>'Results vs speed'!B13</f>
        <v>shape</v>
      </c>
      <c r="C13" t="str">
        <f>'Results vs speed'!C13</f>
        <v>number</v>
      </c>
      <c r="D13" t="str">
        <f>'Results vs speed'!D13</f>
        <v>deg</v>
      </c>
      <c r="E13" t="str">
        <f>'Results vs speed'!E13</f>
        <v>m/s</v>
      </c>
      <c r="F13">
        <f>'Results vs speed'!M13</f>
        <v>0</v>
      </c>
      <c r="G13">
        <f>'Results vs speed'!N13</f>
        <v>0</v>
      </c>
      <c r="I13" t="str">
        <f>'Results vs speed'!Q13</f>
        <v>N</v>
      </c>
      <c r="J13" t="str">
        <f>'Results vs speed'!L13</f>
        <v>m/s</v>
      </c>
      <c r="K13" t="str">
        <f>'Results vs speed'!O13</f>
        <v>N</v>
      </c>
      <c r="W13" t="s">
        <v>138</v>
      </c>
      <c r="X13" t="s">
        <v>148</v>
      </c>
      <c r="AA13" t="s">
        <v>20</v>
      </c>
      <c r="AB13" t="s">
        <v>20</v>
      </c>
    </row>
    <row r="15" spans="1:48">
      <c r="A15" t="str">
        <f>'Results vs speed'!A16</f>
        <v>D1</v>
      </c>
      <c r="B15" t="str">
        <f>'Results vs speed'!B16</f>
        <v>V1</v>
      </c>
      <c r="C15">
        <f>'Results vs speed'!C16</f>
        <v>3</v>
      </c>
      <c r="D15">
        <f>'Results vs speed'!D16</f>
        <v>0</v>
      </c>
      <c r="E15">
        <f>'Results vs speed'!E16</f>
        <v>0.4</v>
      </c>
      <c r="F15">
        <f>'Results vs speed'!M16</f>
        <v>11.04</v>
      </c>
      <c r="G15" t="str">
        <f>'Results vs speed'!N16</f>
        <v>good run</v>
      </c>
      <c r="I15">
        <f>'Results vs speed'!Q16</f>
        <v>9.9304519999999993E-2</v>
      </c>
      <c r="J15">
        <f>'Results vs speed'!L16</f>
        <v>0.399166519</v>
      </c>
      <c r="K15">
        <f>'Results vs speed'!O16</f>
        <v>9.9304519999999993E-2</v>
      </c>
      <c r="L15">
        <f>J15/SQRT($K$3*$M$3)</f>
        <v>0.11832884036402426</v>
      </c>
      <c r="M15">
        <f t="shared" ref="M15:M32" si="0">K15/(0.5*$P$3*$O$3*$J15^2)</f>
        <v>7.6472131320629595E-3</v>
      </c>
      <c r="N15">
        <v>16</v>
      </c>
      <c r="O15" s="25">
        <f t="shared" ref="O15:O32" si="1">$Q$3*10^($R$3/($N15+273-$S$3))</f>
        <v>1.1112825991928521E-3</v>
      </c>
      <c r="P15" s="24">
        <f t="shared" ref="P15:P32" si="2">$P$3*J15*$M$3/$O15</f>
        <v>416665.53797954787</v>
      </c>
      <c r="Q15">
        <f t="shared" ref="Q15:Q32" si="3">0.075/(LOG10($P15)-2)^2</f>
        <v>5.7239402515101888E-3</v>
      </c>
      <c r="R15">
        <f>$L15^4/$Q15</f>
        <v>3.4250533593656471E-2</v>
      </c>
      <c r="S15">
        <f t="shared" ref="S15:S32" si="4">$M15/$Q15</f>
        <v>1.3360050587609364</v>
      </c>
      <c r="U15">
        <f t="shared" ref="U15:U32" si="5">0.075/(LOG10($P15*10)-2)^2</f>
        <v>3.5141253522657243E-3</v>
      </c>
      <c r="V15">
        <f t="shared" ref="V15:V67" si="6">Q15-U15</f>
        <v>2.2098148992444645E-3</v>
      </c>
      <c r="W15">
        <f t="shared" ref="W15:W67" si="7">$V15*W$10</f>
        <v>2.2098148992444645E-3</v>
      </c>
      <c r="X15">
        <f>W15/M15</f>
        <v>0.28896996344710629</v>
      </c>
      <c r="Y15">
        <v>1.6</v>
      </c>
      <c r="Z15">
        <f>M15-$Y15*(Q15-U15)</f>
        <v>4.1115092932718159E-3</v>
      </c>
      <c r="AA15">
        <f>Z15*$O$3/$AA$12</f>
        <v>1.3733115057444794E-2</v>
      </c>
      <c r="AB15">
        <f>AA15-'Results vs speed'!W16</f>
        <v>-1.1809830445142546E-2</v>
      </c>
    </row>
    <row r="16" spans="1:48">
      <c r="A16" t="str">
        <f>'Results vs speed'!A17</f>
        <v>D1</v>
      </c>
      <c r="B16" t="str">
        <f>'Results vs speed'!B17</f>
        <v>V1</v>
      </c>
      <c r="C16">
        <f>'Results vs speed'!C17</f>
        <v>4</v>
      </c>
      <c r="D16">
        <f>'Results vs speed'!D17</f>
        <v>0</v>
      </c>
      <c r="E16">
        <f>'Results vs speed'!E17</f>
        <v>0.8</v>
      </c>
      <c r="F16">
        <f>'Results vs speed'!M17</f>
        <v>11.27</v>
      </c>
      <c r="G16">
        <f>'Results vs speed'!N17</f>
        <v>0</v>
      </c>
      <c r="I16">
        <f>'Results vs speed'!Q17</f>
        <v>0.51653595299999999</v>
      </c>
      <c r="J16">
        <f>'Results vs speed'!L17</f>
        <v>0.80495266099999996</v>
      </c>
      <c r="K16">
        <f>'Results vs speed'!O17</f>
        <v>0.51653595299999999</v>
      </c>
      <c r="L16">
        <f>J16/SQRT($K$3*$M$3)</f>
        <v>0.23862000040155054</v>
      </c>
      <c r="M16">
        <f t="shared" si="0"/>
        <v>9.7814280796823545E-3</v>
      </c>
      <c r="N16">
        <v>16</v>
      </c>
      <c r="O16" s="25">
        <f t="shared" si="1"/>
        <v>1.1112825991928521E-3</v>
      </c>
      <c r="P16" s="24">
        <f t="shared" si="2"/>
        <v>840240.89591450314</v>
      </c>
      <c r="Q16">
        <f t="shared" si="3"/>
        <v>4.8698309423618157E-3</v>
      </c>
      <c r="R16">
        <f>$L16^4/$Q16</f>
        <v>0.6657535387806599</v>
      </c>
      <c r="S16">
        <f t="shared" si="4"/>
        <v>2.0085765184568127</v>
      </c>
      <c r="U16">
        <f t="shared" si="5"/>
        <v>3.092815015063026E-3</v>
      </c>
      <c r="V16">
        <f t="shared" si="6"/>
        <v>1.7770159272987897E-3</v>
      </c>
      <c r="W16">
        <f t="shared" si="7"/>
        <v>1.7770159272987897E-3</v>
      </c>
      <c r="X16">
        <f t="shared" ref="X16:X67" si="8">W16/M16</f>
        <v>0.18167244218560949</v>
      </c>
      <c r="Y16">
        <v>1.6</v>
      </c>
      <c r="Z16">
        <f t="shared" ref="Z16:Z67" si="9">M16-$Y16*(Q16-U16)</f>
        <v>6.9382025960042903E-3</v>
      </c>
      <c r="AA16">
        <f t="shared" ref="AA16:AA32" si="10">Z16*$O$3/$AA$12</f>
        <v>2.3174734080915971E-2</v>
      </c>
      <c r="AB16">
        <f>AA16-'Results vs speed'!W17</f>
        <v>-9.496839218023044E-3</v>
      </c>
    </row>
    <row r="17" spans="1:28">
      <c r="A17" t="str">
        <f>'Results vs speed'!A18</f>
        <v>D1</v>
      </c>
      <c r="B17" t="str">
        <f>'Results vs speed'!B18</f>
        <v>V1</v>
      </c>
      <c r="C17">
        <f>'Results vs speed'!C18</f>
        <v>5</v>
      </c>
      <c r="D17">
        <f>'Results vs speed'!D18</f>
        <v>0</v>
      </c>
      <c r="E17">
        <f>'Results vs speed'!E18</f>
        <v>1.2</v>
      </c>
      <c r="F17">
        <f>'Results vs speed'!M18</f>
        <v>11.5</v>
      </c>
      <c r="G17" t="str">
        <f>'Results vs speed'!N18</f>
        <v>Originally didn't change file name before run. Recovered</v>
      </c>
      <c r="I17">
        <f>'Results vs speed'!Q18</f>
        <v>1.6150736499999998</v>
      </c>
      <c r="J17">
        <f>'Results vs speed'!L18</f>
        <v>1.1953707760000001</v>
      </c>
      <c r="K17">
        <f>'Results vs speed'!O18</f>
        <v>1.6150736499999998</v>
      </c>
      <c r="L17">
        <f>J17/SQRT($K$3*$M$3)</f>
        <v>0.35435546569256177</v>
      </c>
      <c r="M17">
        <f t="shared" si="0"/>
        <v>1.3868498842847903E-2</v>
      </c>
      <c r="N17">
        <v>16</v>
      </c>
      <c r="O17" s="25">
        <f t="shared" si="1"/>
        <v>1.1112825991928521E-3</v>
      </c>
      <c r="P17" s="24">
        <f t="shared" si="2"/>
        <v>1247774.5095326235</v>
      </c>
      <c r="Q17">
        <f t="shared" si="3"/>
        <v>4.4700512753268204E-3</v>
      </c>
      <c r="R17">
        <f>$L17^4/$Q17</f>
        <v>3.5273133209793133</v>
      </c>
      <c r="S17">
        <f t="shared" si="4"/>
        <v>3.1025368588940694</v>
      </c>
      <c r="U17">
        <f t="shared" si="5"/>
        <v>2.8878805507159678E-3</v>
      </c>
      <c r="V17">
        <f t="shared" si="6"/>
        <v>1.5821707246108526E-3</v>
      </c>
      <c r="W17">
        <f t="shared" si="7"/>
        <v>1.5821707246108526E-3</v>
      </c>
      <c r="X17">
        <f t="shared" si="8"/>
        <v>0.114083776661004</v>
      </c>
      <c r="Y17">
        <v>1.6</v>
      </c>
      <c r="Z17">
        <f t="shared" si="9"/>
        <v>1.1337025683470538E-2</v>
      </c>
      <c r="AA17">
        <f t="shared" si="10"/>
        <v>3.7867524311592161E-2</v>
      </c>
      <c r="AB17">
        <f>AA17-'Results vs speed'!W18</f>
        <v>-8.4555353479202899E-3</v>
      </c>
    </row>
    <row r="18" spans="1:28">
      <c r="A18" t="str">
        <f>'Results vs speed'!A19</f>
        <v>D1</v>
      </c>
      <c r="B18" t="str">
        <f>'Results vs speed'!B19</f>
        <v>V1</v>
      </c>
      <c r="C18">
        <f>'Results vs speed'!C19</f>
        <v>6</v>
      </c>
      <c r="D18">
        <f>'Results vs speed'!D19</f>
        <v>0</v>
      </c>
      <c r="E18">
        <f>'Results vs speed'!E19</f>
        <v>1.6</v>
      </c>
      <c r="F18" t="str">
        <f>'Results vs speed'!M19</f>
        <v>~14.35</v>
      </c>
      <c r="G18" t="str">
        <f>'Results vs speed'!N19</f>
        <v>re-run of test 6 to confirm bow over the top. From now on only test to 1.2m/s.This test done after test 10</v>
      </c>
      <c r="I18">
        <f>'Results vs speed'!Q19</f>
        <v>2.4866430589999999</v>
      </c>
      <c r="J18">
        <f>'Results vs speed'!L19</f>
        <v>1.6056720010000001</v>
      </c>
      <c r="K18">
        <f>'Results vs speed'!O19</f>
        <v>2.4866430589999999</v>
      </c>
      <c r="L18">
        <f>J18/SQRT($K$3*$M$3)</f>
        <v>0.47598507600110723</v>
      </c>
      <c r="M18">
        <f t="shared" si="0"/>
        <v>1.1834289036556327E-2</v>
      </c>
      <c r="N18">
        <v>16</v>
      </c>
      <c r="O18" s="25">
        <f t="shared" si="1"/>
        <v>1.1112825991928521E-3</v>
      </c>
      <c r="P18" s="24">
        <f t="shared" si="2"/>
        <v>1676062.8867156119</v>
      </c>
      <c r="Q18">
        <f t="shared" si="3"/>
        <v>4.2029454128732317E-3</v>
      </c>
      <c r="R18">
        <f>$L18^4/$Q18</f>
        <v>12.212922322981141</v>
      </c>
      <c r="S18">
        <f t="shared" si="4"/>
        <v>2.8157132377472709</v>
      </c>
      <c r="U18">
        <f t="shared" si="5"/>
        <v>2.7479362849879493E-3</v>
      </c>
      <c r="V18">
        <f t="shared" si="6"/>
        <v>1.4550091278852824E-3</v>
      </c>
      <c r="W18">
        <f t="shared" si="7"/>
        <v>1.4550091278852824E-3</v>
      </c>
      <c r="X18">
        <f t="shared" si="8"/>
        <v>0.12294858807239992</v>
      </c>
      <c r="Y18">
        <v>1.6</v>
      </c>
      <c r="Z18">
        <f t="shared" si="9"/>
        <v>9.5062744319398748E-3</v>
      </c>
      <c r="AA18">
        <f t="shared" si="10"/>
        <v>3.175251500832376E-2</v>
      </c>
      <c r="AB18">
        <f>AA18-'Results vs speed'!W19</f>
        <v>-7.7759504211574043E-3</v>
      </c>
    </row>
    <row r="19" spans="1:28">
      <c r="A19" t="str">
        <f>'Results vs speed'!A20</f>
        <v>D1</v>
      </c>
      <c r="B19" t="str">
        <f>'Results vs speed'!B20</f>
        <v>V1</v>
      </c>
      <c r="C19">
        <f>'Results vs speed'!C20</f>
        <v>8</v>
      </c>
      <c r="D19">
        <f>'Results vs speed'!D20</f>
        <v>4</v>
      </c>
      <c r="E19">
        <f>'Results vs speed'!E20</f>
        <v>0.4</v>
      </c>
      <c r="F19">
        <f>'Results vs speed'!M20</f>
        <v>13.25</v>
      </c>
      <c r="G19">
        <f>'Results vs speed'!N20</f>
        <v>0</v>
      </c>
      <c r="I19">
        <f>'Results vs speed'!Q20</f>
        <v>5.7051461874938605E-2</v>
      </c>
      <c r="J19">
        <f>'Results vs speed'!L20</f>
        <v>0.40036896100000002</v>
      </c>
      <c r="K19">
        <f>'Results vs speed'!O20</f>
        <v>5.9672465000000001E-2</v>
      </c>
      <c r="L19">
        <f t="shared" ref="L19:L32" si="11">J19/SQRT($K$3*$M$3)</f>
        <v>0.1186852920218974</v>
      </c>
      <c r="M19">
        <f t="shared" si="0"/>
        <v>4.5676789159369083E-3</v>
      </c>
      <c r="N19">
        <v>16</v>
      </c>
      <c r="O19" s="25">
        <f t="shared" si="1"/>
        <v>1.1112825991928521E-3</v>
      </c>
      <c r="P19" s="24">
        <f t="shared" si="2"/>
        <v>417920.69370772457</v>
      </c>
      <c r="Q19">
        <f t="shared" si="3"/>
        <v>5.7198112219457612E-3</v>
      </c>
      <c r="R19">
        <f t="shared" ref="R19:R32" si="12">$L19^4/$Q19</f>
        <v>3.4690129040001023E-2</v>
      </c>
      <c r="S19">
        <f t="shared" si="4"/>
        <v>0.79857162040796836</v>
      </c>
      <c r="U19">
        <f t="shared" si="5"/>
        <v>3.5121388818709401E-3</v>
      </c>
      <c r="V19">
        <f t="shared" si="6"/>
        <v>2.2076723400748211E-3</v>
      </c>
      <c r="W19">
        <f t="shared" si="7"/>
        <v>2.2076723400748211E-3</v>
      </c>
      <c r="X19">
        <f t="shared" si="8"/>
        <v>0.48332476531398005</v>
      </c>
      <c r="Y19">
        <v>1.6</v>
      </c>
      <c r="Z19">
        <f t="shared" si="9"/>
        <v>1.0354031718171944E-3</v>
      </c>
      <c r="AA19">
        <f t="shared" si="10"/>
        <v>3.4584163320943175E-3</v>
      </c>
      <c r="AB19">
        <f>AA19-'Results vs speed'!W20</f>
        <v>-1.1798380046957239E-2</v>
      </c>
    </row>
    <row r="20" spans="1:28">
      <c r="A20" t="str">
        <f>'Results vs speed'!A21</f>
        <v>D1</v>
      </c>
      <c r="B20" t="str">
        <f>'Results vs speed'!B21</f>
        <v>V1</v>
      </c>
      <c r="C20">
        <f>'Results vs speed'!C21</f>
        <v>9</v>
      </c>
      <c r="D20">
        <f>'Results vs speed'!D21</f>
        <v>4</v>
      </c>
      <c r="E20">
        <f>'Results vs speed'!E21</f>
        <v>0.8</v>
      </c>
      <c r="F20">
        <f>'Results vs speed'!M21</f>
        <v>13.4</v>
      </c>
      <c r="G20">
        <f>'Results vs speed'!N21</f>
        <v>0</v>
      </c>
      <c r="I20">
        <f>'Results vs speed'!Q21</f>
        <v>0.54138455169969268</v>
      </c>
      <c r="J20">
        <f>'Results vs speed'!L21</f>
        <v>0.80652782099999998</v>
      </c>
      <c r="K20">
        <f>'Results vs speed'!O21</f>
        <v>0.54670943900000002</v>
      </c>
      <c r="L20">
        <f t="shared" si="11"/>
        <v>0.23908694050628362</v>
      </c>
      <c r="M20">
        <f t="shared" si="0"/>
        <v>1.0312412048549682E-2</v>
      </c>
      <c r="N20">
        <v>16</v>
      </c>
      <c r="O20" s="25">
        <f t="shared" si="1"/>
        <v>1.1112825991928521E-3</v>
      </c>
      <c r="P20" s="24">
        <f t="shared" si="2"/>
        <v>841885.10918782104</v>
      </c>
      <c r="Q20">
        <f t="shared" si="3"/>
        <v>4.8677245302411664E-3</v>
      </c>
      <c r="R20">
        <f t="shared" si="12"/>
        <v>0.67127028879164186</v>
      </c>
      <c r="S20">
        <f t="shared" si="4"/>
        <v>2.1185282742445501</v>
      </c>
      <c r="U20">
        <f t="shared" si="5"/>
        <v>3.0917488313386911E-3</v>
      </c>
      <c r="V20">
        <f t="shared" si="6"/>
        <v>1.7759756989024753E-3</v>
      </c>
      <c r="W20">
        <f t="shared" si="7"/>
        <v>1.7759756989024753E-3</v>
      </c>
      <c r="X20">
        <f t="shared" si="8"/>
        <v>0.17221729412492254</v>
      </c>
      <c r="Y20">
        <v>1.6</v>
      </c>
      <c r="Z20">
        <f t="shared" si="9"/>
        <v>7.4708509303057207E-3</v>
      </c>
      <c r="AA20">
        <f t="shared" si="10"/>
        <v>2.4953866836881812E-2</v>
      </c>
      <c r="AB20">
        <f>AA20-'Results vs speed'!W21</f>
        <v>-9.4912799646263354E-3</v>
      </c>
    </row>
    <row r="21" spans="1:28">
      <c r="A21" t="str">
        <f>'Results vs speed'!A22</f>
        <v>D1</v>
      </c>
      <c r="B21" t="str">
        <f>'Results vs speed'!B22</f>
        <v>V1</v>
      </c>
      <c r="C21">
        <f>'Results vs speed'!C22</f>
        <v>11</v>
      </c>
      <c r="D21">
        <f>'Results vs speed'!D22</f>
        <v>4</v>
      </c>
      <c r="E21">
        <f>'Results vs speed'!E22</f>
        <v>1.2</v>
      </c>
      <c r="F21">
        <f>'Results vs speed'!M22</f>
        <v>15.14</v>
      </c>
      <c r="G21" t="str">
        <f>'Results vs speed'!N22</f>
        <v>After set to 8deg</v>
      </c>
      <c r="I21">
        <f>'Results vs speed'!Q22</f>
        <v>1.7160799298982004</v>
      </c>
      <c r="J21">
        <f>'Results vs speed'!L22</f>
        <v>1.1985547809999999</v>
      </c>
      <c r="K21">
        <f>'Results vs speed'!O22</f>
        <v>1.737280025</v>
      </c>
      <c r="L21">
        <f t="shared" si="11"/>
        <v>0.35529933147646342</v>
      </c>
      <c r="M21">
        <f t="shared" si="0"/>
        <v>1.4838720008585944E-2</v>
      </c>
      <c r="N21">
        <v>16</v>
      </c>
      <c r="O21" s="25">
        <f t="shared" si="1"/>
        <v>1.1112825991928521E-3</v>
      </c>
      <c r="P21" s="24">
        <f t="shared" si="2"/>
        <v>1251098.0977924254</v>
      </c>
      <c r="Q21">
        <f t="shared" si="3"/>
        <v>4.4675309181904923E-3</v>
      </c>
      <c r="R21">
        <f t="shared" si="12"/>
        <v>3.5670565508069623</v>
      </c>
      <c r="S21">
        <f t="shared" si="4"/>
        <v>3.3214588282236552</v>
      </c>
      <c r="U21">
        <f t="shared" si="5"/>
        <v>2.8865716756079655E-3</v>
      </c>
      <c r="V21">
        <f t="shared" si="6"/>
        <v>1.5809592425825268E-3</v>
      </c>
      <c r="W21">
        <f t="shared" si="7"/>
        <v>1.5809592425825268E-3</v>
      </c>
      <c r="X21">
        <f t="shared" si="8"/>
        <v>0.10654283129998787</v>
      </c>
      <c r="Y21">
        <v>1.6</v>
      </c>
      <c r="Z21">
        <f t="shared" si="9"/>
        <v>1.2309185220453902E-2</v>
      </c>
      <c r="AA21">
        <f t="shared" si="10"/>
        <v>4.1114696535532499E-2</v>
      </c>
      <c r="AB21">
        <f>AA21-'Results vs speed'!W22</f>
        <v>-8.4490608701951395E-3</v>
      </c>
    </row>
    <row r="22" spans="1:28">
      <c r="A22" t="str">
        <f>'Results vs speed'!A23</f>
        <v>D1</v>
      </c>
      <c r="B22" t="str">
        <f>'Results vs speed'!B23</f>
        <v>V1</v>
      </c>
      <c r="C22">
        <f>'Results vs speed'!C23</f>
        <v>10</v>
      </c>
      <c r="D22">
        <f>'Results vs speed'!D23</f>
        <v>4</v>
      </c>
      <c r="E22">
        <f>'Results vs speed'!E23</f>
        <v>1.6</v>
      </c>
      <c r="F22">
        <f>'Results vs speed'!M23</f>
        <v>14.02</v>
      </c>
      <c r="G22" t="str">
        <f>'Results vs speed'!N23</f>
        <v>large (or nice) wake pattern</v>
      </c>
      <c r="I22">
        <f>'Results vs speed'!Q23</f>
        <v>2.6177714613275387</v>
      </c>
      <c r="J22">
        <f>'Results vs speed'!L23</f>
        <v>1.605772797</v>
      </c>
      <c r="K22">
        <f>'Results vs speed'!O23</f>
        <v>2.673215506</v>
      </c>
      <c r="L22">
        <f t="shared" si="11"/>
        <v>0.47601495594650745</v>
      </c>
      <c r="M22">
        <f t="shared" si="0"/>
        <v>1.2720616803705303E-2</v>
      </c>
      <c r="N22">
        <v>16</v>
      </c>
      <c r="O22" s="25">
        <f t="shared" si="1"/>
        <v>1.1112825991928521E-3</v>
      </c>
      <c r="P22" s="24">
        <f t="shared" si="2"/>
        <v>1676168.1015008383</v>
      </c>
      <c r="Q22">
        <f t="shared" si="3"/>
        <v>4.2028911649736088E-3</v>
      </c>
      <c r="R22">
        <f t="shared" si="12"/>
        <v>12.216146949944786</v>
      </c>
      <c r="S22">
        <f t="shared" si="4"/>
        <v>3.0266348340678908</v>
      </c>
      <c r="U22">
        <f t="shared" si="5"/>
        <v>2.7479076060478837E-3</v>
      </c>
      <c r="V22">
        <f t="shared" si="6"/>
        <v>1.4549835589257251E-3</v>
      </c>
      <c r="W22">
        <f t="shared" si="7"/>
        <v>1.4549835589257251E-3</v>
      </c>
      <c r="X22">
        <f t="shared" si="8"/>
        <v>0.11437995353353564</v>
      </c>
      <c r="Y22">
        <v>1.6</v>
      </c>
      <c r="Z22">
        <f t="shared" si="9"/>
        <v>1.0392643109424142E-2</v>
      </c>
      <c r="AA22">
        <f t="shared" si="10"/>
        <v>3.4713131697461784E-2</v>
      </c>
      <c r="AB22">
        <f>AA22-'Results vs speed'!W23</f>
        <v>-7.7758137739309258E-3</v>
      </c>
    </row>
    <row r="23" spans="1:28">
      <c r="A23" t="str">
        <f>'Results vs speed'!A25</f>
        <v>D1</v>
      </c>
      <c r="B23" t="str">
        <f>'Results vs speed'!B25</f>
        <v>V1</v>
      </c>
      <c r="C23">
        <f>'Results vs speed'!C25</f>
        <v>12</v>
      </c>
      <c r="D23">
        <f>'Results vs speed'!D25</f>
        <v>8</v>
      </c>
      <c r="E23">
        <f>'Results vs speed'!E25</f>
        <v>0.4</v>
      </c>
      <c r="F23">
        <f>'Results vs speed'!M25</f>
        <v>15.4</v>
      </c>
      <c r="G23">
        <f>'Results vs speed'!N25</f>
        <v>0</v>
      </c>
      <c r="I23">
        <f>'Results vs speed'!Q25</f>
        <v>0.21341141591403864</v>
      </c>
      <c r="J23">
        <f>'Results vs speed'!L25</f>
        <v>0.39705455299999998</v>
      </c>
      <c r="K23">
        <f>'Results vs speed'!O25</f>
        <v>0.221632302</v>
      </c>
      <c r="L23">
        <f t="shared" si="11"/>
        <v>0.1177027695996367</v>
      </c>
      <c r="M23">
        <f t="shared" si="0"/>
        <v>1.7249443471330859E-2</v>
      </c>
      <c r="N23">
        <v>16</v>
      </c>
      <c r="O23" s="25">
        <f t="shared" si="1"/>
        <v>1.1112825991928521E-3</v>
      </c>
      <c r="P23" s="24">
        <f t="shared" si="2"/>
        <v>414460.98572454142</v>
      </c>
      <c r="Q23">
        <f t="shared" si="3"/>
        <v>5.7312335731528998E-3</v>
      </c>
      <c r="R23">
        <f t="shared" si="12"/>
        <v>3.3488725541860803E-2</v>
      </c>
      <c r="S23">
        <f t="shared" si="4"/>
        <v>3.0097261350738309</v>
      </c>
      <c r="U23">
        <f t="shared" si="5"/>
        <v>3.5176330227827653E-3</v>
      </c>
      <c r="V23">
        <f t="shared" si="6"/>
        <v>2.2136005503701345E-3</v>
      </c>
      <c r="W23">
        <f t="shared" si="7"/>
        <v>2.2136005503701345E-3</v>
      </c>
      <c r="X23">
        <f t="shared" si="8"/>
        <v>0.12832880979894865</v>
      </c>
      <c r="Y23">
        <v>1.6</v>
      </c>
      <c r="Z23">
        <f t="shared" si="9"/>
        <v>1.3707682590738644E-2</v>
      </c>
      <c r="AA23">
        <f t="shared" si="10"/>
        <v>4.5785907014147524E-2</v>
      </c>
      <c r="AB23">
        <f>AA23-'Results vs speed'!W25</f>
        <v>-1.1830061957715791E-2</v>
      </c>
    </row>
    <row r="24" spans="1:28">
      <c r="A24" t="str">
        <f>'Results vs speed'!A26</f>
        <v>D1</v>
      </c>
      <c r="B24" t="str">
        <f>'Results vs speed'!B26</f>
        <v>V1</v>
      </c>
      <c r="C24">
        <f>'Results vs speed'!C26</f>
        <v>13</v>
      </c>
      <c r="D24">
        <f>'Results vs speed'!D26</f>
        <v>8</v>
      </c>
      <c r="E24">
        <f>'Results vs speed'!E26</f>
        <v>0.8</v>
      </c>
      <c r="F24">
        <f>'Results vs speed'!M26</f>
        <v>15.53</v>
      </c>
      <c r="G24" t="str">
        <f>'Results vs speed'!N26</f>
        <v>photographed</v>
      </c>
      <c r="I24">
        <f>'Results vs speed'!Q26</f>
        <v>0.5661086105803449</v>
      </c>
      <c r="J24">
        <f>'Results vs speed'!L26</f>
        <v>0.80848332000000001</v>
      </c>
      <c r="K24">
        <f>'Results vs speed'!O26</f>
        <v>0.60233237300000009</v>
      </c>
      <c r="L24">
        <f t="shared" si="11"/>
        <v>0.239666628225541</v>
      </c>
      <c r="M24">
        <f t="shared" si="0"/>
        <v>1.1306715590903335E-2</v>
      </c>
      <c r="N24">
        <v>16</v>
      </c>
      <c r="O24" s="25">
        <f t="shared" si="1"/>
        <v>1.1112825991928521E-3</v>
      </c>
      <c r="P24" s="24">
        <f t="shared" si="2"/>
        <v>843926.33510249632</v>
      </c>
      <c r="Q24">
        <f t="shared" si="3"/>
        <v>4.8651171136071389E-3</v>
      </c>
      <c r="R24">
        <f t="shared" si="12"/>
        <v>0.67816748715738728</v>
      </c>
      <c r="S24">
        <f t="shared" si="4"/>
        <v>2.3240377008150186</v>
      </c>
      <c r="U24">
        <f t="shared" si="5"/>
        <v>3.0904288640194533E-3</v>
      </c>
      <c r="V24">
        <f t="shared" si="6"/>
        <v>1.7746882495876855E-3</v>
      </c>
      <c r="W24">
        <f t="shared" si="7"/>
        <v>1.7746882495876855E-3</v>
      </c>
      <c r="X24">
        <f t="shared" si="8"/>
        <v>0.15695877687199339</v>
      </c>
      <c r="Y24">
        <v>1.6</v>
      </c>
      <c r="Z24">
        <f t="shared" si="9"/>
        <v>8.4672143915630379E-3</v>
      </c>
      <c r="AA24">
        <f t="shared" si="10"/>
        <v>2.8281884135753586E-2</v>
      </c>
      <c r="AB24">
        <f>AA24-'Results vs speed'!W26</f>
        <v>-9.4843994977964856E-3</v>
      </c>
    </row>
    <row r="25" spans="1:28">
      <c r="A25" t="str">
        <f>'Results vs speed'!A27</f>
        <v>D1</v>
      </c>
      <c r="B25" t="str">
        <f>'Results vs speed'!B27</f>
        <v>V1</v>
      </c>
      <c r="C25">
        <f>'Results vs speed'!C27</f>
        <v>14</v>
      </c>
      <c r="D25">
        <f>'Results vs speed'!D27</f>
        <v>8</v>
      </c>
      <c r="E25">
        <f>'Results vs speed'!E27</f>
        <v>1.2</v>
      </c>
      <c r="F25">
        <f>'Results vs speed'!M27</f>
        <v>14.29</v>
      </c>
      <c r="G25" t="str">
        <f>'Results vs speed'!N27</f>
        <v>photo again. Strange time. Probably 16.29</v>
      </c>
      <c r="I25">
        <f>'Results vs speed'!Q27</f>
        <v>1.6725382291438582</v>
      </c>
      <c r="J25">
        <f>'Results vs speed'!L27</f>
        <v>1.1940425610000001</v>
      </c>
      <c r="K25">
        <f>'Results vs speed'!O27</f>
        <v>1.8254384689999998</v>
      </c>
      <c r="L25">
        <f t="shared" si="11"/>
        <v>0.35396172991257241</v>
      </c>
      <c r="M25">
        <f t="shared" si="0"/>
        <v>1.5709775372232806E-2</v>
      </c>
      <c r="N25">
        <v>16</v>
      </c>
      <c r="O25" s="25">
        <f t="shared" si="1"/>
        <v>1.1112825991928521E-3</v>
      </c>
      <c r="P25" s="24">
        <f t="shared" si="2"/>
        <v>1246388.0670551481</v>
      </c>
      <c r="Q25">
        <f t="shared" si="3"/>
        <v>4.471105265018223E-3</v>
      </c>
      <c r="R25">
        <f t="shared" si="12"/>
        <v>3.5108343680269649</v>
      </c>
      <c r="S25">
        <f t="shared" si="4"/>
        <v>3.5136223463906249</v>
      </c>
      <c r="U25">
        <f t="shared" si="5"/>
        <v>2.8884278455829845E-3</v>
      </c>
      <c r="V25">
        <f t="shared" si="6"/>
        <v>1.5826774194352385E-3</v>
      </c>
      <c r="W25">
        <f t="shared" si="7"/>
        <v>1.5826774194352385E-3</v>
      </c>
      <c r="X25">
        <f t="shared" si="8"/>
        <v>0.10074475171889712</v>
      </c>
      <c r="Y25">
        <v>1.6</v>
      </c>
      <c r="Z25">
        <f t="shared" si="9"/>
        <v>1.3177491501136424E-2</v>
      </c>
      <c r="AA25">
        <f t="shared" si="10"/>
        <v>4.4014981858304034E-2</v>
      </c>
      <c r="AB25">
        <f>AA25-'Results vs speed'!W27</f>
        <v>-8.4582432579653893E-3</v>
      </c>
    </row>
    <row r="26" spans="1:28">
      <c r="A26" t="str">
        <f>'Results vs speed'!A28</f>
        <v>D2</v>
      </c>
      <c r="B26" t="str">
        <f>'Results vs speed'!B28</f>
        <v>V1</v>
      </c>
      <c r="C26">
        <f>'Results vs speed'!C28</f>
        <v>1</v>
      </c>
      <c r="D26">
        <f>'Results vs speed'!D28</f>
        <v>8</v>
      </c>
      <c r="E26">
        <f>'Results vs speed'!E28</f>
        <v>1.2</v>
      </c>
      <c r="F26">
        <f>'Results vs speed'!M28</f>
        <v>0</v>
      </c>
      <c r="G26" t="str">
        <f>'Results vs speed'!N28</f>
        <v>Ian skimmed tank before tests. Previous test with model rotated bow to port, following tests with bow rotated to starboard.  Data recorded for only 5 sec, not 10 sec. After set to 16 degs</v>
      </c>
      <c r="I26">
        <f>'Results vs speed'!Q28</f>
        <v>1.2516431558347343</v>
      </c>
      <c r="J26">
        <f>'Results vs speed'!L28</f>
        <v>1.1942638269999999</v>
      </c>
      <c r="K26">
        <f>'Results vs speed'!O28</f>
        <v>1.3806132279999999</v>
      </c>
      <c r="L26">
        <f t="shared" si="11"/>
        <v>0.35402732195986525</v>
      </c>
      <c r="M26">
        <f t="shared" si="0"/>
        <v>1.1877194405853926E-2</v>
      </c>
      <c r="N26">
        <v>16</v>
      </c>
      <c r="O26" s="25">
        <f t="shared" si="1"/>
        <v>1.1112825991928521E-3</v>
      </c>
      <c r="P26" s="24">
        <f t="shared" si="2"/>
        <v>1246619.0331120146</v>
      </c>
      <c r="Q26">
        <f t="shared" si="3"/>
        <v>4.4709295746878071E-3</v>
      </c>
      <c r="R26">
        <f t="shared" si="12"/>
        <v>3.5135755030718148</v>
      </c>
      <c r="S26">
        <f t="shared" si="4"/>
        <v>2.6565380213315657</v>
      </c>
      <c r="U26">
        <f t="shared" si="5"/>
        <v>2.8883366192298354E-3</v>
      </c>
      <c r="V26">
        <f t="shared" si="6"/>
        <v>1.5825929554579717E-3</v>
      </c>
      <c r="W26">
        <f t="shared" si="7"/>
        <v>1.5825929554579717E-3</v>
      </c>
      <c r="X26">
        <f t="shared" si="8"/>
        <v>0.13324636285131086</v>
      </c>
      <c r="Y26">
        <v>1.6</v>
      </c>
      <c r="Z26">
        <f t="shared" si="9"/>
        <v>9.3450456771211714E-3</v>
      </c>
      <c r="AA26">
        <f t="shared" si="10"/>
        <v>3.121398453628588E-2</v>
      </c>
      <c r="AB26">
        <f>AA26-'Results vs speed'!W28</f>
        <v>-8.4577918603163695E-3</v>
      </c>
    </row>
    <row r="27" spans="1:28">
      <c r="A27" t="str">
        <f>'Results vs speed'!A30</f>
        <v>D2</v>
      </c>
      <c r="B27" t="str">
        <f>'Results vs speed'!B30</f>
        <v>V1</v>
      </c>
      <c r="C27">
        <f>'Results vs speed'!C30</f>
        <v>2</v>
      </c>
      <c r="D27">
        <f>'Results vs speed'!D30</f>
        <v>16</v>
      </c>
      <c r="E27">
        <f>'Results vs speed'!E30</f>
        <v>0.4</v>
      </c>
      <c r="F27">
        <f>'Results vs speed'!M30</f>
        <v>0</v>
      </c>
      <c r="G27" t="str">
        <f>'Results vs speed'!N30</f>
        <v>Data recorded for only 5 sec, not 10 sec. Video + photo</v>
      </c>
      <c r="I27">
        <f>'Results vs speed'!Q30</f>
        <v>3.2936177443965223E-2</v>
      </c>
      <c r="J27">
        <f>'Results vs speed'!L30</f>
        <v>0.399162872</v>
      </c>
      <c r="K27">
        <f>'Results vs speed'!O30</f>
        <v>0.11927837500000001</v>
      </c>
      <c r="L27">
        <f t="shared" si="11"/>
        <v>0.11832775924809828</v>
      </c>
      <c r="M27">
        <f t="shared" si="0"/>
        <v>9.1855217026731908E-3</v>
      </c>
      <c r="N27">
        <v>16</v>
      </c>
      <c r="O27" s="25">
        <f t="shared" si="1"/>
        <v>1.1112825991928521E-3</v>
      </c>
      <c r="P27" s="24">
        <f t="shared" si="2"/>
        <v>416661.73109909898</v>
      </c>
      <c r="Q27">
        <f t="shared" si="3"/>
        <v>5.7239528005549262E-3</v>
      </c>
      <c r="R27">
        <f t="shared" si="12"/>
        <v>3.4249206798396187E-2</v>
      </c>
      <c r="S27">
        <f t="shared" si="4"/>
        <v>1.6047514755507195</v>
      </c>
      <c r="U27">
        <f t="shared" si="5"/>
        <v>3.5141313888844843E-3</v>
      </c>
      <c r="V27">
        <f t="shared" si="6"/>
        <v>2.2098214116704419E-3</v>
      </c>
      <c r="W27">
        <f t="shared" si="7"/>
        <v>2.2098214116704419E-3</v>
      </c>
      <c r="X27">
        <f t="shared" si="8"/>
        <v>0.24057658162489942</v>
      </c>
      <c r="Y27">
        <v>1</v>
      </c>
      <c r="Z27">
        <f t="shared" si="9"/>
        <v>6.9757002910027493E-3</v>
      </c>
      <c r="AA27">
        <f t="shared" si="10"/>
        <v>2.3299982529373934E-2</v>
      </c>
      <c r="AB27">
        <f>AA27-'Results vs speed'!W30</f>
        <v>-7.3811657807844669E-3</v>
      </c>
    </row>
    <row r="28" spans="1:28">
      <c r="A28" t="str">
        <f>'Results vs speed'!A31</f>
        <v>D2</v>
      </c>
      <c r="B28" t="str">
        <f>'Results vs speed'!B31</f>
        <v>V1</v>
      </c>
      <c r="C28">
        <f>'Results vs speed'!C31</f>
        <v>3</v>
      </c>
      <c r="D28">
        <f>'Results vs speed'!D31</f>
        <v>16</v>
      </c>
      <c r="E28">
        <f>'Results vs speed'!E31</f>
        <v>0.8</v>
      </c>
      <c r="F28">
        <f>'Results vs speed'!M31</f>
        <v>10.35</v>
      </c>
      <c r="G28" t="str">
        <f>'Results vs speed'!N31</f>
        <v>Data recorded for 10 sec. Ran again to check recording was working properly. Seemed ok</v>
      </c>
      <c r="I28">
        <f>'Results vs speed'!Q31</f>
        <v>0.26408099201759094</v>
      </c>
      <c r="J28">
        <f>'Results vs speed'!L31</f>
        <v>0.808770145</v>
      </c>
      <c r="K28">
        <f>'Results vs speed'!O31</f>
        <v>0.48797140699999986</v>
      </c>
      <c r="L28">
        <f t="shared" si="11"/>
        <v>0.23975165456923944</v>
      </c>
      <c r="M28">
        <f t="shared" si="0"/>
        <v>9.1534864638361801E-3</v>
      </c>
      <c r="N28">
        <v>16</v>
      </c>
      <c r="O28" s="25">
        <f t="shared" si="1"/>
        <v>1.1112825991928521E-3</v>
      </c>
      <c r="P28" s="24">
        <f t="shared" si="2"/>
        <v>844225.73419345799</v>
      </c>
      <c r="Q28">
        <f t="shared" si="3"/>
        <v>4.864735374214983E-3</v>
      </c>
      <c r="R28">
        <f t="shared" si="12"/>
        <v>0.67918366308466349</v>
      </c>
      <c r="S28">
        <f t="shared" si="4"/>
        <v>1.8816000788764935</v>
      </c>
      <c r="U28">
        <f t="shared" si="5"/>
        <v>3.0902355958451577E-3</v>
      </c>
      <c r="V28">
        <f t="shared" si="6"/>
        <v>1.7744997783698253E-3</v>
      </c>
      <c r="W28">
        <f t="shared" si="7"/>
        <v>1.7744997783698253E-3</v>
      </c>
      <c r="X28">
        <f t="shared" si="8"/>
        <v>0.19386053449475921</v>
      </c>
      <c r="Y28">
        <v>1</v>
      </c>
      <c r="Z28">
        <f t="shared" si="9"/>
        <v>7.3789866854663544E-3</v>
      </c>
      <c r="AA28">
        <f t="shared" si="10"/>
        <v>2.4647025199406061E-2</v>
      </c>
      <c r="AB28">
        <f>AA28-'Results vs speed'!W31</f>
        <v>-5.9271201613582264E-3</v>
      </c>
    </row>
    <row r="29" spans="1:28">
      <c r="A29" t="str">
        <f>'Results vs speed'!A32</f>
        <v>D2</v>
      </c>
      <c r="B29" t="str">
        <f>'Results vs speed'!B32</f>
        <v>V1</v>
      </c>
      <c r="C29">
        <f>'Results vs speed'!C32</f>
        <v>4</v>
      </c>
      <c r="D29">
        <f>'Results vs speed'!D32</f>
        <v>16</v>
      </c>
      <c r="E29">
        <f>'Results vs speed'!E32</f>
        <v>1.2</v>
      </c>
      <c r="F29">
        <f>'Results vs speed'!M32</f>
        <v>11.05</v>
      </c>
      <c r="G29">
        <f>'Results vs speed'!N32</f>
        <v>0</v>
      </c>
      <c r="I29">
        <f>'Results vs speed'!Q32</f>
        <v>1.351990769502053</v>
      </c>
      <c r="J29">
        <f>'Results vs speed'!L32</f>
        <v>1.1962005280000001</v>
      </c>
      <c r="K29">
        <f>'Results vs speed'!O32</f>
        <v>2.0054195400000001</v>
      </c>
      <c r="L29">
        <f t="shared" si="11"/>
        <v>0.3546014372038892</v>
      </c>
      <c r="M29">
        <f t="shared" si="0"/>
        <v>1.7196483761264328E-2</v>
      </c>
      <c r="N29">
        <v>16</v>
      </c>
      <c r="O29" s="25">
        <f t="shared" si="1"/>
        <v>1.1112825991928521E-3</v>
      </c>
      <c r="P29" s="24">
        <f t="shared" si="2"/>
        <v>1248640.6369431482</v>
      </c>
      <c r="Q29">
        <f t="shared" si="3"/>
        <v>4.4693936182544219E-3</v>
      </c>
      <c r="R29">
        <f t="shared" si="12"/>
        <v>3.5376377641595202</v>
      </c>
      <c r="S29">
        <f t="shared" si="4"/>
        <v>3.8476100406615408</v>
      </c>
      <c r="U29">
        <f t="shared" si="5"/>
        <v>2.8875390363476781E-3</v>
      </c>
      <c r="V29">
        <f t="shared" si="6"/>
        <v>1.5818545819067439E-3</v>
      </c>
      <c r="W29">
        <f t="shared" si="7"/>
        <v>1.5818545819067439E-3</v>
      </c>
      <c r="X29">
        <f t="shared" si="8"/>
        <v>9.1987094796084176E-2</v>
      </c>
      <c r="Y29">
        <v>1</v>
      </c>
      <c r="Z29">
        <f t="shared" si="9"/>
        <v>1.5614629179357584E-2</v>
      </c>
      <c r="AA29">
        <f t="shared" si="10"/>
        <v>5.2155421234329633E-2</v>
      </c>
      <c r="AB29">
        <f>AA29-'Results vs speed'!W32</f>
        <v>-5.2836536239917881E-3</v>
      </c>
    </row>
    <row r="30" spans="1:28">
      <c r="A30" t="str">
        <f>'Results vs speed'!A33</f>
        <v>D2</v>
      </c>
      <c r="B30" t="str">
        <f>'Results vs speed'!B33</f>
        <v>V1</v>
      </c>
      <c r="C30">
        <f>'Results vs speed'!C33</f>
        <v>5</v>
      </c>
      <c r="D30">
        <f>'Results vs speed'!D33</f>
        <v>24</v>
      </c>
      <c r="E30">
        <f>'Results vs speed'!E33</f>
        <v>0.4</v>
      </c>
      <c r="F30">
        <f>'Results vs speed'!M33</f>
        <v>11.36</v>
      </c>
      <c r="G30">
        <f>'Results vs speed'!N33</f>
        <v>0</v>
      </c>
      <c r="I30">
        <f>'Results vs speed'!Q33</f>
        <v>5.2097542371598415E-2</v>
      </c>
      <c r="J30">
        <f>'Results vs speed'!L33</f>
        <v>0.40077541500000002</v>
      </c>
      <c r="K30">
        <f>'Results vs speed'!O33</f>
        <v>0.306835264</v>
      </c>
      <c r="L30">
        <f t="shared" si="11"/>
        <v>0.11880578116162237</v>
      </c>
      <c r="M30">
        <f t="shared" si="0"/>
        <v>2.3439347464997186E-2</v>
      </c>
      <c r="N30">
        <v>16</v>
      </c>
      <c r="O30" s="25">
        <f t="shared" si="1"/>
        <v>1.1112825991928521E-3</v>
      </c>
      <c r="P30" s="24">
        <f t="shared" si="2"/>
        <v>418344.96620181599</v>
      </c>
      <c r="Q30">
        <f t="shared" si="3"/>
        <v>5.7184193233619446E-3</v>
      </c>
      <c r="R30">
        <f t="shared" si="12"/>
        <v>3.4839691312119753E-2</v>
      </c>
      <c r="S30">
        <f t="shared" si="4"/>
        <v>4.0989207225917177</v>
      </c>
      <c r="U30">
        <f t="shared" si="5"/>
        <v>3.5114691364935579E-3</v>
      </c>
      <c r="V30">
        <f t="shared" si="6"/>
        <v>2.2069501868683867E-3</v>
      </c>
      <c r="W30">
        <f t="shared" si="7"/>
        <v>2.2069501868683867E-3</v>
      </c>
      <c r="X30">
        <f t="shared" si="8"/>
        <v>9.4155786126900676E-2</v>
      </c>
      <c r="Y30">
        <v>1</v>
      </c>
      <c r="Z30">
        <f t="shared" si="9"/>
        <v>2.1232397278128798E-2</v>
      </c>
      <c r="AA30">
        <f t="shared" si="10"/>
        <v>7.0919687629815445E-2</v>
      </c>
      <c r="AB30">
        <f>AA30-'Results vs speed'!W33</f>
        <v>-7.3715754192530125E-3</v>
      </c>
    </row>
    <row r="31" spans="1:28">
      <c r="A31" t="str">
        <f>'Results vs speed'!A34</f>
        <v>D2</v>
      </c>
      <c r="B31" t="str">
        <f>'Results vs speed'!B34</f>
        <v>V1</v>
      </c>
      <c r="C31">
        <f>'Results vs speed'!C34</f>
        <v>6</v>
      </c>
      <c r="D31">
        <f>'Results vs speed'!D34</f>
        <v>24</v>
      </c>
      <c r="E31">
        <f>'Results vs speed'!E34</f>
        <v>0.8</v>
      </c>
      <c r="F31">
        <f>'Results vs speed'!M34</f>
        <v>12.04</v>
      </c>
      <c r="G31">
        <f>'Results vs speed'!N34</f>
        <v>0</v>
      </c>
      <c r="I31">
        <f>'Results vs speed'!Q34</f>
        <v>0.43205184500545157</v>
      </c>
      <c r="J31">
        <f>'Results vs speed'!L34</f>
        <v>0.80715357399999998</v>
      </c>
      <c r="K31">
        <f>'Results vs speed'!O34</f>
        <v>1.0403195900000002</v>
      </c>
      <c r="L31">
        <f t="shared" si="11"/>
        <v>0.23927243859622815</v>
      </c>
      <c r="M31">
        <f t="shared" si="0"/>
        <v>1.9592814182759512E-2</v>
      </c>
      <c r="N31">
        <v>16</v>
      </c>
      <c r="O31" s="25">
        <f t="shared" si="1"/>
        <v>1.1112825991928521E-3</v>
      </c>
      <c r="P31" s="24">
        <f t="shared" si="2"/>
        <v>842538.29450767324</v>
      </c>
      <c r="Q31">
        <f t="shared" si="3"/>
        <v>4.866889250526819E-3</v>
      </c>
      <c r="R31">
        <f t="shared" si="12"/>
        <v>0.67347152735278293</v>
      </c>
      <c r="S31">
        <f t="shared" si="4"/>
        <v>4.0257365997466819</v>
      </c>
      <c r="U31">
        <f t="shared" si="5"/>
        <v>3.0913260063936171E-3</v>
      </c>
      <c r="V31">
        <f t="shared" si="6"/>
        <v>1.7755632441332019E-3</v>
      </c>
      <c r="W31">
        <f t="shared" si="7"/>
        <v>1.7755632441332019E-3</v>
      </c>
      <c r="X31">
        <f t="shared" si="8"/>
        <v>9.0623186009470239E-2</v>
      </c>
      <c r="Y31">
        <v>1</v>
      </c>
      <c r="Z31">
        <f t="shared" si="9"/>
        <v>1.7817250938626312E-2</v>
      </c>
      <c r="AA31">
        <f t="shared" si="10"/>
        <v>5.9512538995821485E-2</v>
      </c>
      <c r="AB31">
        <f>AA31-'Results vs speed'!W34</f>
        <v>-5.9306723113465576E-3</v>
      </c>
    </row>
    <row r="32" spans="1:28">
      <c r="A32" t="str">
        <f>'Results vs speed'!A35</f>
        <v>D2</v>
      </c>
      <c r="B32" t="str">
        <f>'Results vs speed'!B35</f>
        <v>V1</v>
      </c>
      <c r="C32">
        <f>'Results vs speed'!C35</f>
        <v>7</v>
      </c>
      <c r="D32">
        <f>'Results vs speed'!D35</f>
        <v>24</v>
      </c>
      <c r="E32">
        <f>'Results vs speed'!E35</f>
        <v>1.2</v>
      </c>
      <c r="F32">
        <f>'Results vs speed'!M35</f>
        <v>12.3</v>
      </c>
      <c r="G32" t="str">
        <f>'Results vs speed'!N35</f>
        <v>waterline well below on leeward side.</v>
      </c>
      <c r="I32">
        <f>'Results vs speed'!Q35</f>
        <v>1.2504401270027199</v>
      </c>
      <c r="J32">
        <f>'Results vs speed'!L35</f>
        <v>1.196083969</v>
      </c>
      <c r="K32">
        <f>'Results vs speed'!O35</f>
        <v>2.8111068349999999</v>
      </c>
      <c r="L32">
        <f t="shared" si="11"/>
        <v>0.35456688447802792</v>
      </c>
      <c r="M32">
        <f t="shared" si="0"/>
        <v>2.4109955186211153E-2</v>
      </c>
      <c r="N32">
        <v>16</v>
      </c>
      <c r="O32" s="25">
        <f t="shared" si="1"/>
        <v>1.1112825991928521E-3</v>
      </c>
      <c r="P32" s="24">
        <f t="shared" si="2"/>
        <v>1248518.968125425</v>
      </c>
      <c r="Q32">
        <f t="shared" si="3"/>
        <v>4.4694859659994302E-3</v>
      </c>
      <c r="R32">
        <f t="shared" si="12"/>
        <v>3.5361860559732596</v>
      </c>
      <c r="S32">
        <f t="shared" si="4"/>
        <v>5.39434632296018</v>
      </c>
      <c r="U32">
        <f t="shared" si="5"/>
        <v>2.8875869924484274E-3</v>
      </c>
      <c r="V32">
        <f t="shared" si="6"/>
        <v>1.5818989735510028E-3</v>
      </c>
      <c r="W32">
        <f t="shared" si="7"/>
        <v>1.5818989735510028E-3</v>
      </c>
      <c r="X32">
        <f t="shared" si="8"/>
        <v>6.5611858725300107E-2</v>
      </c>
      <c r="Y32">
        <v>1</v>
      </c>
      <c r="Z32">
        <f t="shared" si="9"/>
        <v>2.2528056212660151E-2</v>
      </c>
      <c r="AA32">
        <f t="shared" si="10"/>
        <v>7.5247400874254189E-2</v>
      </c>
      <c r="AB32">
        <f>AA32-'Results vs speed'!W35</f>
        <v>-5.2838018993609237E-3</v>
      </c>
    </row>
    <row r="33" spans="1:34">
      <c r="AC33" t="s">
        <v>158</v>
      </c>
      <c r="AH33" t="s">
        <v>218</v>
      </c>
    </row>
    <row r="34" spans="1:34">
      <c r="A34" t="str">
        <f>'Results vs speed'!A37</f>
        <v>D2</v>
      </c>
      <c r="B34" t="str">
        <f>'Results vs speed'!B37</f>
        <v>V2</v>
      </c>
      <c r="C34">
        <f>'Results vs speed'!C37</f>
        <v>1</v>
      </c>
      <c r="D34">
        <f>'Results vs speed'!D37</f>
        <v>0</v>
      </c>
      <c r="E34">
        <f>'Results vs speed'!E37</f>
        <v>0.4</v>
      </c>
      <c r="F34">
        <f>'Results vs speed'!M37</f>
        <v>13.58</v>
      </c>
      <c r="G34">
        <f>'Results vs speed'!N37</f>
        <v>0</v>
      </c>
      <c r="I34">
        <f>'Results vs speed'!Q37</f>
        <v>2.7794197E-2</v>
      </c>
      <c r="J34">
        <f>'Results vs speed'!L37</f>
        <v>0.39910057999999998</v>
      </c>
      <c r="K34">
        <f>'Results vs speed'!O37</f>
        <v>2.7794197E-2</v>
      </c>
      <c r="L34">
        <f>J34/SQRT($K$3*$M$3)</f>
        <v>0.11830929342049724</v>
      </c>
      <c r="M34">
        <f t="shared" ref="M34" si="13">K34/(0.5*$P$3*$O$4*$J34^2)</f>
        <v>2.7053888693108546E-3</v>
      </c>
      <c r="N34">
        <v>16</v>
      </c>
      <c r="O34" s="25">
        <f t="shared" ref="O34:O51" si="14">$Q$3*10^($R$3/($N34+273-$S$3))</f>
        <v>1.1112825991928521E-3</v>
      </c>
      <c r="P34" s="24">
        <f t="shared" ref="P34" si="15">$P$3*J34*$M$3/$O34</f>
        <v>416596.7082866726</v>
      </c>
      <c r="Q34">
        <f t="shared" ref="Q34:Q51" si="16">0.075/(LOG10($P34)-2)^2</f>
        <v>5.7241671665849607E-3</v>
      </c>
      <c r="R34">
        <f>$L34^4/$Q34</f>
        <v>3.4226550735368677E-2</v>
      </c>
      <c r="S34">
        <f>$M34/$Q34</f>
        <v>0.47262576206782764</v>
      </c>
      <c r="U34">
        <f>0.075/(LOG10($P34*10)-2)^2</f>
        <v>3.5142345073048246E-3</v>
      </c>
      <c r="V34">
        <f t="shared" ref="V34" si="17">Q34-U34</f>
        <v>2.2099326592801361E-3</v>
      </c>
      <c r="W34">
        <f t="shared" si="7"/>
        <v>2.2099326592801361E-3</v>
      </c>
      <c r="X34">
        <f t="shared" si="8"/>
        <v>0.81686321857422062</v>
      </c>
      <c r="Y34">
        <v>1.4</v>
      </c>
      <c r="Z34">
        <f t="shared" si="9"/>
        <v>-3.885168536813359E-4</v>
      </c>
      <c r="AA34">
        <f>Z34*$O$4/$AA$12</f>
        <v>-1.0270220107559903E-3</v>
      </c>
      <c r="AB34">
        <f>AA34-'Results vs speed'!W37</f>
        <v>-8.1785622595490267E-3</v>
      </c>
    </row>
    <row r="35" spans="1:34">
      <c r="A35" t="str">
        <f>'Results vs speed'!A38</f>
        <v>D2</v>
      </c>
      <c r="B35" t="str">
        <f>'Results vs speed'!B38</f>
        <v>V2</v>
      </c>
      <c r="C35">
        <f>'Results vs speed'!C38</f>
        <v>2</v>
      </c>
      <c r="D35">
        <f>'Results vs speed'!D38</f>
        <v>0</v>
      </c>
      <c r="E35">
        <f>'Results vs speed'!E38</f>
        <v>0.8</v>
      </c>
      <c r="F35">
        <f>'Results vs speed'!M38</f>
        <v>14.1</v>
      </c>
      <c r="G35">
        <f>'Results vs speed'!N38</f>
        <v>0</v>
      </c>
      <c r="I35">
        <f>'Results vs speed'!Q38</f>
        <v>0.43268670799999998</v>
      </c>
      <c r="J35">
        <f>'Results vs speed'!L38</f>
        <v>0.807602975</v>
      </c>
      <c r="K35">
        <f>'Results vs speed'!O38</f>
        <v>0.43268670799999998</v>
      </c>
      <c r="L35">
        <f>J35/SQRT($K$3*$M$3)</f>
        <v>0.23940565893575377</v>
      </c>
      <c r="M35">
        <f t="shared" ref="M35:M51" si="18">K35/(0.5*$P$3*$O$4*$J35^2)</f>
        <v>1.0285324997778577E-2</v>
      </c>
      <c r="N35">
        <v>16</v>
      </c>
      <c r="O35" s="25">
        <f t="shared" si="14"/>
        <v>1.1112825991928521E-3</v>
      </c>
      <c r="P35" s="24">
        <f t="shared" ref="P35:P51" si="19">$P$3*J35*$M$3/$O35</f>
        <v>843007.39675077389</v>
      </c>
      <c r="Q35">
        <f t="shared" si="16"/>
        <v>4.8662899043442559E-3</v>
      </c>
      <c r="R35">
        <f>$L35^4/$Q35</f>
        <v>0.67505579401447724</v>
      </c>
      <c r="S35">
        <f>$M35/$Q35</f>
        <v>2.113586572102212</v>
      </c>
      <c r="U35">
        <f>0.075/(LOG10($P35*10)-2)^2</f>
        <v>3.0910225991793603E-3</v>
      </c>
      <c r="V35">
        <f t="shared" si="6"/>
        <v>1.7752673051648956E-3</v>
      </c>
      <c r="W35">
        <f t="shared" si="7"/>
        <v>1.7752673051648956E-3</v>
      </c>
      <c r="X35">
        <f t="shared" si="8"/>
        <v>0.17260196498878913</v>
      </c>
      <c r="Y35">
        <v>1.4</v>
      </c>
      <c r="Z35">
        <f t="shared" si="9"/>
        <v>7.7999507705477228E-3</v>
      </c>
      <c r="AA35">
        <f t="shared" ref="AA35:AA51" si="20">Z35*$O$4/$AA$12</f>
        <v>2.061872232378394E-2</v>
      </c>
      <c r="AB35">
        <f>AA35-'Results vs speed'!W38</f>
        <v>-6.5699441662454908E-3</v>
      </c>
    </row>
    <row r="36" spans="1:34">
      <c r="A36" t="str">
        <f>'Results vs speed'!A39</f>
        <v>D2</v>
      </c>
      <c r="B36" t="str">
        <f>'Results vs speed'!B39</f>
        <v>V2</v>
      </c>
      <c r="C36">
        <f>'Results vs speed'!C39</f>
        <v>3</v>
      </c>
      <c r="D36">
        <f>'Results vs speed'!D39</f>
        <v>0</v>
      </c>
      <c r="E36">
        <f>'Results vs speed'!E39</f>
        <v>1.2</v>
      </c>
      <c r="F36">
        <f>'Results vs speed'!M39</f>
        <v>14.27</v>
      </c>
      <c r="G36">
        <f>'Results vs speed'!N39</f>
        <v>0</v>
      </c>
      <c r="I36">
        <f>'Results vs speed'!Q39</f>
        <v>0.82467747499999999</v>
      </c>
      <c r="J36">
        <f>'Results vs speed'!L39</f>
        <v>1.196363101</v>
      </c>
      <c r="K36">
        <f>'Results vs speed'!O39</f>
        <v>0.82467747499999999</v>
      </c>
      <c r="L36">
        <f>J36/SQRT($K$3*$M$3)</f>
        <v>0.35464963031039692</v>
      </c>
      <c r="M36">
        <f t="shared" si="18"/>
        <v>8.9330218927551226E-3</v>
      </c>
      <c r="N36">
        <v>16</v>
      </c>
      <c r="O36" s="25">
        <f t="shared" si="14"/>
        <v>1.1112825991928521E-3</v>
      </c>
      <c r="P36" s="24">
        <f t="shared" si="19"/>
        <v>1248810.33696377</v>
      </c>
      <c r="Q36">
        <f t="shared" si="16"/>
        <v>4.4692648341932723E-3</v>
      </c>
      <c r="R36">
        <f>$L36^4/$Q36</f>
        <v>3.5396633209282888</v>
      </c>
      <c r="S36">
        <f t="shared" ref="S36:S51" si="21">$M36/$Q36</f>
        <v>1.9987676327459309</v>
      </c>
      <c r="U36">
        <f>0.075/(LOG10($P36*10)-2)^2</f>
        <v>2.8874721584138522E-3</v>
      </c>
      <c r="V36">
        <f t="shared" si="6"/>
        <v>1.5817926757794201E-3</v>
      </c>
      <c r="W36">
        <f t="shared" si="7"/>
        <v>1.5817926757794201E-3</v>
      </c>
      <c r="X36">
        <f t="shared" si="8"/>
        <v>0.17707251753880607</v>
      </c>
      <c r="Y36">
        <v>1.4</v>
      </c>
      <c r="Z36">
        <f t="shared" si="9"/>
        <v>6.7185121466639347E-3</v>
      </c>
      <c r="AA36">
        <f t="shared" si="20"/>
        <v>1.7760001371304252E-2</v>
      </c>
      <c r="AB36">
        <f>AA36-'Results vs speed'!W39</f>
        <v>-5.8539294517574447E-3</v>
      </c>
    </row>
    <row r="37" spans="1:34">
      <c r="A37" t="str">
        <f>'Results vs speed'!A40</f>
        <v>D2</v>
      </c>
      <c r="B37" t="str">
        <f>'Results vs speed'!B40</f>
        <v>V2</v>
      </c>
      <c r="C37">
        <f>'Results vs speed'!C40</f>
        <v>4</v>
      </c>
      <c r="D37">
        <f>'Results vs speed'!D40</f>
        <v>0</v>
      </c>
      <c r="E37">
        <f>'Results vs speed'!E40</f>
        <v>1.6</v>
      </c>
      <c r="F37">
        <f>'Results vs speed'!M40</f>
        <v>14.56</v>
      </c>
      <c r="G37">
        <f>'Results vs speed'!N40</f>
        <v>0</v>
      </c>
      <c r="I37">
        <f>'Results vs speed'!Q40</f>
        <v>1.2398563490000001</v>
      </c>
      <c r="J37">
        <f>'Results vs speed'!L40</f>
        <v>1.6066748719999999</v>
      </c>
      <c r="K37">
        <f>'Results vs speed'!O40</f>
        <v>1.2398563490000001</v>
      </c>
      <c r="L37">
        <f>J37/SQRT($K$3*$M$3)</f>
        <v>0.47628236687300196</v>
      </c>
      <c r="M37">
        <f t="shared" si="18"/>
        <v>7.4465593063326408E-3</v>
      </c>
      <c r="N37">
        <v>16</v>
      </c>
      <c r="O37" s="25">
        <f t="shared" si="14"/>
        <v>1.1112825991928521E-3</v>
      </c>
      <c r="P37" s="24">
        <f t="shared" si="19"/>
        <v>1677109.7224717415</v>
      </c>
      <c r="Q37">
        <f t="shared" si="16"/>
        <v>4.2024058710296896E-3</v>
      </c>
      <c r="R37">
        <f>$L37^4/$Q37</f>
        <v>12.245034643671447</v>
      </c>
      <c r="S37">
        <f t="shared" si="21"/>
        <v>1.7719752767497576</v>
      </c>
      <c r="U37">
        <f>0.075/(LOG10($P37*10)-2)^2</f>
        <v>2.7476510436273958E-3</v>
      </c>
      <c r="V37">
        <f t="shared" si="6"/>
        <v>1.4547548274022938E-3</v>
      </c>
      <c r="W37">
        <f t="shared" si="7"/>
        <v>1.4547548274022938E-3</v>
      </c>
      <c r="X37">
        <f t="shared" si="8"/>
        <v>0.19535932872583897</v>
      </c>
      <c r="Y37">
        <v>1.4</v>
      </c>
      <c r="Z37">
        <f t="shared" si="9"/>
        <v>5.4099025479694297E-3</v>
      </c>
      <c r="AA37">
        <f t="shared" si="20"/>
        <v>1.4300766981312631E-2</v>
      </c>
      <c r="AB37">
        <f>AA37-'Results vs speed'!W40</f>
        <v>-5.3837852833781563E-3</v>
      </c>
    </row>
    <row r="38" spans="1:34">
      <c r="A38" t="str">
        <f>'Results vs speed'!A42</f>
        <v>D2</v>
      </c>
      <c r="B38" t="str">
        <f>'Results vs speed'!B42</f>
        <v>V2</v>
      </c>
      <c r="C38">
        <f>'Results vs speed'!C42</f>
        <v>5</v>
      </c>
      <c r="D38">
        <f>'Results vs speed'!D42</f>
        <v>8</v>
      </c>
      <c r="E38">
        <f>'Results vs speed'!E42</f>
        <v>0.4</v>
      </c>
      <c r="F38">
        <f>'Results vs speed'!M42</f>
        <v>15.33</v>
      </c>
      <c r="G38">
        <f>'Results vs speed'!N42</f>
        <v>0</v>
      </c>
      <c r="I38">
        <f>'Results vs speed'!Q42</f>
        <v>3.3947920021064712E-2</v>
      </c>
      <c r="J38">
        <f>'Results vs speed'!L42</f>
        <v>0.400327561</v>
      </c>
      <c r="K38">
        <f>'Results vs speed'!O42</f>
        <v>6.2739980000000001E-2</v>
      </c>
      <c r="L38">
        <f t="shared" ref="L38:L51" si="22">J38/SQRT($K$3*$M$3)</f>
        <v>0.1186730194144569</v>
      </c>
      <c r="M38">
        <f t="shared" si="18"/>
        <v>6.0695106811935965E-3</v>
      </c>
      <c r="N38">
        <v>16</v>
      </c>
      <c r="O38" s="25">
        <f t="shared" si="14"/>
        <v>1.1112825991928521E-3</v>
      </c>
      <c r="P38" s="24">
        <f t="shared" si="19"/>
        <v>417877.47877748549</v>
      </c>
      <c r="Q38">
        <f t="shared" si="16"/>
        <v>5.7199531037469189E-3</v>
      </c>
      <c r="R38">
        <f t="shared" ref="R38:R51" si="23">$L38^4/$Q38</f>
        <v>3.4674922664169008E-2</v>
      </c>
      <c r="S38">
        <f t="shared" si="21"/>
        <v>1.0611119656239307</v>
      </c>
      <c r="U38">
        <f t="shared" ref="U38:U51" si="24">0.075/(LOG10($P38*10)-2)^2</f>
        <v>3.5122071487302411E-3</v>
      </c>
      <c r="V38">
        <f t="shared" si="6"/>
        <v>2.2077459550166778E-3</v>
      </c>
      <c r="W38">
        <f t="shared" si="7"/>
        <v>2.2077459550166778E-3</v>
      </c>
      <c r="X38">
        <f t="shared" si="8"/>
        <v>0.36374364771403855</v>
      </c>
      <c r="Y38">
        <v>1.4</v>
      </c>
      <c r="Z38">
        <f t="shared" si="9"/>
        <v>2.9786663441702479E-3</v>
      </c>
      <c r="AA38">
        <f t="shared" si="20"/>
        <v>7.8739335737287291E-3</v>
      </c>
      <c r="AB38">
        <f>AA38-'Results vs speed'!W42</f>
        <v>-8.1704696613936877E-3</v>
      </c>
    </row>
    <row r="39" spans="1:34">
      <c r="A39" t="str">
        <f>'Results vs speed'!A43</f>
        <v>D2</v>
      </c>
      <c r="B39" t="str">
        <f>'Results vs speed'!B43</f>
        <v>V2</v>
      </c>
      <c r="C39">
        <f>'Results vs speed'!C43</f>
        <v>6</v>
      </c>
      <c r="D39">
        <f>'Results vs speed'!D43</f>
        <v>8</v>
      </c>
      <c r="E39">
        <f>'Results vs speed'!E43</f>
        <v>0.8</v>
      </c>
      <c r="F39">
        <f>'Results vs speed'!M43</f>
        <v>15.47</v>
      </c>
      <c r="G39">
        <f>'Results vs speed'!N43</f>
        <v>0</v>
      </c>
      <c r="I39">
        <f>'Results vs speed'!Q43</f>
        <v>0.41399410182274632</v>
      </c>
      <c r="J39">
        <f>'Results vs speed'!L43</f>
        <v>0.80967196399999997</v>
      </c>
      <c r="K39">
        <f>'Results vs speed'!O43</f>
        <v>0.53100438999999999</v>
      </c>
      <c r="L39">
        <f t="shared" si="22"/>
        <v>0.24001898960714688</v>
      </c>
      <c r="M39">
        <f t="shared" si="18"/>
        <v>1.2557991765129119E-2</v>
      </c>
      <c r="N39">
        <v>16</v>
      </c>
      <c r="O39" s="25">
        <f t="shared" si="14"/>
        <v>1.1112825991928521E-3</v>
      </c>
      <c r="P39" s="24">
        <f t="shared" si="19"/>
        <v>845167.08794160432</v>
      </c>
      <c r="Q39">
        <f t="shared" si="16"/>
        <v>4.8635363044131404E-3</v>
      </c>
      <c r="R39">
        <f t="shared" si="23"/>
        <v>0.6823862239780244</v>
      </c>
      <c r="S39">
        <f t="shared" si="21"/>
        <v>2.5820701191711226</v>
      </c>
      <c r="U39">
        <f t="shared" si="24"/>
        <v>3.0896284971245669E-3</v>
      </c>
      <c r="V39">
        <f t="shared" si="6"/>
        <v>1.7739078072885736E-3</v>
      </c>
      <c r="W39">
        <f t="shared" si="7"/>
        <v>1.7739078072885736E-3</v>
      </c>
      <c r="X39">
        <f t="shared" si="8"/>
        <v>0.14125728384488509</v>
      </c>
      <c r="Y39">
        <v>1.4</v>
      </c>
      <c r="Z39">
        <f t="shared" si="9"/>
        <v>1.0074520834925115E-2</v>
      </c>
      <c r="AA39">
        <f t="shared" si="20"/>
        <v>2.6631417780847124E-2</v>
      </c>
      <c r="AB39">
        <f>AA39-'Results vs speed'!W43</f>
        <v>-6.5649129097605889E-3</v>
      </c>
    </row>
    <row r="40" spans="1:34">
      <c r="A40" t="str">
        <f>'Results vs speed'!A44</f>
        <v>D2</v>
      </c>
      <c r="B40" t="str">
        <f>'Results vs speed'!B44</f>
        <v>V2</v>
      </c>
      <c r="C40">
        <f>'Results vs speed'!C44</f>
        <v>7</v>
      </c>
      <c r="D40">
        <f>'Results vs speed'!D44</f>
        <v>8</v>
      </c>
      <c r="E40">
        <f>'Results vs speed'!E44</f>
        <v>1.2</v>
      </c>
      <c r="F40">
        <f>'Results vs speed'!M44</f>
        <v>0</v>
      </c>
      <c r="G40">
        <f>'Results vs speed'!N44</f>
        <v>0</v>
      </c>
      <c r="I40">
        <f>'Results vs speed'!Q44</f>
        <v>0.65637535190250995</v>
      </c>
      <c r="J40">
        <f>'Results vs speed'!L44</f>
        <v>1.199292507</v>
      </c>
      <c r="K40">
        <f>'Results vs speed'!O44</f>
        <v>0.95143992700000002</v>
      </c>
      <c r="L40">
        <f t="shared" si="22"/>
        <v>0.35551802281937739</v>
      </c>
      <c r="M40">
        <f t="shared" si="18"/>
        <v>1.0255844262422978E-2</v>
      </c>
      <c r="N40">
        <v>16</v>
      </c>
      <c r="O40" s="25">
        <f t="shared" si="14"/>
        <v>1.1112825991928521E-3</v>
      </c>
      <c r="P40" s="24">
        <f t="shared" si="19"/>
        <v>1251868.1648848301</v>
      </c>
      <c r="Q40">
        <f t="shared" si="16"/>
        <v>4.4669482167154191E-3</v>
      </c>
      <c r="R40">
        <f t="shared" si="23"/>
        <v>3.5763134003678503</v>
      </c>
      <c r="S40">
        <f t="shared" si="21"/>
        <v>2.2959398150274906</v>
      </c>
      <c r="U40">
        <f t="shared" si="24"/>
        <v>2.8862690354040875E-3</v>
      </c>
      <c r="V40">
        <f t="shared" si="6"/>
        <v>1.5806791813113316E-3</v>
      </c>
      <c r="W40">
        <f t="shared" si="7"/>
        <v>1.5806791813113316E-3</v>
      </c>
      <c r="X40">
        <f t="shared" si="8"/>
        <v>0.15412472546047523</v>
      </c>
      <c r="Y40">
        <v>1.4</v>
      </c>
      <c r="Z40">
        <f t="shared" si="9"/>
        <v>8.0428934085871144E-3</v>
      </c>
      <c r="AA40">
        <f t="shared" si="20"/>
        <v>2.1260927248109379E-2</v>
      </c>
      <c r="AB40">
        <f>AA40-'Results vs speed'!W44</f>
        <v>-5.8498086095251298E-3</v>
      </c>
    </row>
    <row r="41" spans="1:34">
      <c r="A41" t="str">
        <f>'Results vs speed'!A45</f>
        <v>D2</v>
      </c>
      <c r="B41" t="str">
        <f>'Results vs speed'!B45</f>
        <v>V2</v>
      </c>
      <c r="C41">
        <f>'Results vs speed'!C45</f>
        <v>8</v>
      </c>
      <c r="D41">
        <f>'Results vs speed'!D45</f>
        <v>8</v>
      </c>
      <c r="E41">
        <f>'Results vs speed'!E45</f>
        <v>1.6</v>
      </c>
      <c r="F41">
        <f>'Results vs speed'!M45</f>
        <v>0</v>
      </c>
      <c r="G41" t="str">
        <f>'Results vs speed'!N45</f>
        <v>Final run of the day</v>
      </c>
      <c r="I41">
        <f>'Results vs speed'!Q45</f>
        <v>1.1726080295642725</v>
      </c>
      <c r="J41">
        <f>'Results vs speed'!L45</f>
        <v>1.60563737</v>
      </c>
      <c r="K41">
        <f>'Results vs speed'!O45</f>
        <v>1.682721887</v>
      </c>
      <c r="L41">
        <f t="shared" si="22"/>
        <v>0.47597480999462721</v>
      </c>
      <c r="M41">
        <f t="shared" si="18"/>
        <v>1.0119468293725063E-2</v>
      </c>
      <c r="N41">
        <v>16</v>
      </c>
      <c r="O41" s="25">
        <f t="shared" si="14"/>
        <v>1.1112825991928521E-3</v>
      </c>
      <c r="P41" s="24">
        <f t="shared" si="19"/>
        <v>1676026.7375308506</v>
      </c>
      <c r="Q41">
        <f t="shared" si="16"/>
        <v>4.2029640521314754E-3</v>
      </c>
      <c r="R41">
        <f t="shared" si="23"/>
        <v>12.21181457084152</v>
      </c>
      <c r="S41">
        <f t="shared" si="21"/>
        <v>2.4076980360070208</v>
      </c>
      <c r="U41">
        <f t="shared" si="24"/>
        <v>2.7479461388780152E-3</v>
      </c>
      <c r="V41">
        <f t="shared" si="6"/>
        <v>1.4550179132534601E-3</v>
      </c>
      <c r="W41">
        <f t="shared" si="7"/>
        <v>1.4550179132534601E-3</v>
      </c>
      <c r="X41">
        <f t="shared" si="8"/>
        <v>0.14378402807543711</v>
      </c>
      <c r="Y41">
        <v>1.4</v>
      </c>
      <c r="Z41">
        <f t="shared" si="9"/>
        <v>8.0824432151702184E-3</v>
      </c>
      <c r="AA41">
        <f t="shared" si="20"/>
        <v>2.1365474892560615E-2</v>
      </c>
      <c r="AB41">
        <f>AA41-'Results vs speed'!W45</f>
        <v>-5.3847589166716239E-3</v>
      </c>
    </row>
    <row r="42" spans="1:34">
      <c r="A42" t="str">
        <f>'Results vs speed'!A46</f>
        <v>D3</v>
      </c>
      <c r="B42" t="str">
        <f>'Results vs speed'!B46</f>
        <v>V2</v>
      </c>
      <c r="C42">
        <f>'Results vs speed'!C46</f>
        <v>9</v>
      </c>
      <c r="D42">
        <f>'Results vs speed'!D46</f>
        <v>8</v>
      </c>
      <c r="E42">
        <f>'Results vs speed'!E46</f>
        <v>1.6</v>
      </c>
      <c r="F42">
        <f>'Results vs speed'!M46</f>
        <v>0</v>
      </c>
      <c r="G42" t="str">
        <f>'Results vs speed'!N46</f>
        <v>dropped model again to even water line</v>
      </c>
      <c r="I42">
        <f>'Results vs speed'!Q46</f>
        <v>1.3222434783291783</v>
      </c>
      <c r="J42">
        <f>'Results vs speed'!L46</f>
        <v>1.603580877</v>
      </c>
      <c r="K42">
        <f>'Results vs speed'!O46</f>
        <v>1.805329822</v>
      </c>
      <c r="L42">
        <f t="shared" si="22"/>
        <v>0.4753651836348905</v>
      </c>
      <c r="M42">
        <f t="shared" si="18"/>
        <v>1.0884665934822612E-2</v>
      </c>
      <c r="N42">
        <v>16</v>
      </c>
      <c r="O42" s="25">
        <f t="shared" si="14"/>
        <v>1.1112825991928521E-3</v>
      </c>
      <c r="P42" s="24">
        <f t="shared" si="19"/>
        <v>1673880.0901508478</v>
      </c>
      <c r="Q42">
        <f t="shared" si="16"/>
        <v>4.2040718513848335E-3</v>
      </c>
      <c r="R42">
        <f t="shared" si="23"/>
        <v>12.146169884102916</v>
      </c>
      <c r="S42">
        <f t="shared" si="21"/>
        <v>2.5890770471102131</v>
      </c>
      <c r="U42">
        <f t="shared" si="24"/>
        <v>2.7485317690539401E-3</v>
      </c>
      <c r="V42">
        <f t="shared" si="6"/>
        <v>1.4555400823308934E-3</v>
      </c>
      <c r="W42">
        <f t="shared" si="7"/>
        <v>1.4555400823308934E-3</v>
      </c>
      <c r="X42">
        <f t="shared" si="8"/>
        <v>0.1337239094931042</v>
      </c>
      <c r="Y42">
        <v>1.4</v>
      </c>
      <c r="Z42">
        <f t="shared" si="9"/>
        <v>8.8469098195593614E-3</v>
      </c>
      <c r="AA42">
        <f t="shared" si="20"/>
        <v>2.3386298498425363E-2</v>
      </c>
      <c r="AB42">
        <f>AA42-'Results vs speed'!W46</f>
        <v>-5.3866913702655533E-3</v>
      </c>
    </row>
    <row r="43" spans="1:34">
      <c r="A43" t="str">
        <f>'Results vs speed'!A47</f>
        <v>D3</v>
      </c>
      <c r="B43" t="str">
        <f>'Results vs speed'!B47</f>
        <v>V2</v>
      </c>
      <c r="C43">
        <f>'Results vs speed'!C47</f>
        <v>10</v>
      </c>
      <c r="D43">
        <f>'Results vs speed'!D47</f>
        <v>8</v>
      </c>
      <c r="E43">
        <f>'Results vs speed'!E47</f>
        <v>1.6</v>
      </c>
      <c r="F43">
        <f>'Results vs speed'!M47</f>
        <v>0</v>
      </c>
      <c r="G43" t="str">
        <f>'Results vs speed'!N47</f>
        <v>good run, wrong clapper board used in test</v>
      </c>
      <c r="I43">
        <f>'Results vs speed'!Q47</f>
        <v>1.2066382705383245</v>
      </c>
      <c r="J43">
        <f>'Results vs speed'!L47</f>
        <v>1.6035679039999999</v>
      </c>
      <c r="K43">
        <f>'Results vs speed'!O47</f>
        <v>1.6372181589999999</v>
      </c>
      <c r="L43">
        <f t="shared" si="22"/>
        <v>0.47536133792145269</v>
      </c>
      <c r="M43">
        <f t="shared" si="18"/>
        <v>9.8712494786387141E-3</v>
      </c>
      <c r="N43">
        <v>16</v>
      </c>
      <c r="O43" s="25">
        <f t="shared" si="14"/>
        <v>1.1112825991928521E-3</v>
      </c>
      <c r="P43" s="24">
        <f t="shared" si="19"/>
        <v>1673866.5484288675</v>
      </c>
      <c r="Q43">
        <f t="shared" si="16"/>
        <v>4.204078845627855E-3</v>
      </c>
      <c r="R43">
        <f t="shared" si="23"/>
        <v>12.145756631195567</v>
      </c>
      <c r="S43">
        <f t="shared" si="21"/>
        <v>2.3480172092644231</v>
      </c>
      <c r="U43">
        <f t="shared" si="24"/>
        <v>2.7485354663698653E-3</v>
      </c>
      <c r="V43">
        <f t="shared" si="6"/>
        <v>1.4555433792579897E-3</v>
      </c>
      <c r="W43">
        <f t="shared" si="7"/>
        <v>1.4555433792579897E-3</v>
      </c>
      <c r="X43">
        <f t="shared" si="8"/>
        <v>0.14745280041880932</v>
      </c>
      <c r="Y43">
        <v>1.4</v>
      </c>
      <c r="Z43">
        <f t="shared" si="9"/>
        <v>7.8334887476775288E-3</v>
      </c>
      <c r="AA43">
        <f t="shared" si="20"/>
        <v>2.0707378042016417E-2</v>
      </c>
      <c r="AB43">
        <f>AA43-'Results vs speed'!W47</f>
        <v>-5.3867035715982198E-3</v>
      </c>
    </row>
    <row r="44" spans="1:34">
      <c r="A44" t="str">
        <f>'Results vs speed'!A49</f>
        <v>D3</v>
      </c>
      <c r="B44" t="str">
        <f>'Results vs speed'!B49</f>
        <v>V2</v>
      </c>
      <c r="C44">
        <f>'Results vs speed'!C49</f>
        <v>11</v>
      </c>
      <c r="D44">
        <f>'Results vs speed'!D49</f>
        <v>16</v>
      </c>
      <c r="E44">
        <f>'Results vs speed'!E49</f>
        <v>0.4</v>
      </c>
      <c r="F44">
        <f>'Results vs speed'!M49</f>
        <v>0</v>
      </c>
      <c r="G44">
        <f>'Results vs speed'!N49</f>
        <v>0</v>
      </c>
      <c r="I44">
        <f>'Results vs speed'!Q49</f>
        <v>2.1124125519877773E-2</v>
      </c>
      <c r="J44">
        <f>'Results vs speed'!L49</f>
        <v>0.40042877900000001</v>
      </c>
      <c r="K44">
        <f>'Results vs speed'!O49</f>
        <v>0.17309189899999999</v>
      </c>
      <c r="L44">
        <f t="shared" si="22"/>
        <v>0.11870302445744993</v>
      </c>
      <c r="M44">
        <f t="shared" si="18"/>
        <v>1.6736570152750888E-2</v>
      </c>
      <c r="N44">
        <v>16</v>
      </c>
      <c r="O44" s="25">
        <f t="shared" si="14"/>
        <v>1.1112825991928521E-3</v>
      </c>
      <c r="P44" s="24">
        <f t="shared" si="19"/>
        <v>417983.13406272553</v>
      </c>
      <c r="Q44">
        <f t="shared" si="16"/>
        <v>5.7196062551120395E-3</v>
      </c>
      <c r="R44">
        <f t="shared" si="23"/>
        <v>3.4712109397648815E-2</v>
      </c>
      <c r="S44">
        <f t="shared" si="21"/>
        <v>2.9261752306449704</v>
      </c>
      <c r="U44">
        <f t="shared" si="24"/>
        <v>3.5120402604861211E-3</v>
      </c>
      <c r="V44">
        <f t="shared" si="6"/>
        <v>2.2075659946259184E-3</v>
      </c>
      <c r="W44">
        <f t="shared" si="7"/>
        <v>2.2075659946259184E-3</v>
      </c>
      <c r="X44">
        <f t="shared" si="8"/>
        <v>0.13190074038336189</v>
      </c>
      <c r="Y44">
        <v>1</v>
      </c>
      <c r="Z44">
        <f t="shared" si="9"/>
        <v>1.452900415812497E-2</v>
      </c>
      <c r="AA44">
        <f t="shared" si="20"/>
        <v>3.8406588860617229E-2</v>
      </c>
      <c r="AB44">
        <f>AA44-'Results vs speed'!W49</f>
        <v>-5.8355740431709768E-3</v>
      </c>
    </row>
    <row r="45" spans="1:34">
      <c r="A45" t="str">
        <f>'Results vs speed'!A50</f>
        <v>D3</v>
      </c>
      <c r="B45" t="str">
        <f>'Results vs speed'!B50</f>
        <v>V2</v>
      </c>
      <c r="C45">
        <f>'Results vs speed'!C50</f>
        <v>12</v>
      </c>
      <c r="D45">
        <f>'Results vs speed'!D50</f>
        <v>16</v>
      </c>
      <c r="E45">
        <f>'Results vs speed'!E50</f>
        <v>0.8</v>
      </c>
      <c r="F45">
        <f>'Results vs speed'!M50</f>
        <v>0</v>
      </c>
      <c r="G45">
        <f>'Results vs speed'!N50</f>
        <v>0</v>
      </c>
      <c r="I45">
        <f>'Results vs speed'!Q50</f>
        <v>0.26303212078132232</v>
      </c>
      <c r="J45">
        <f>'Results vs speed'!L50</f>
        <v>0.81018731200000005</v>
      </c>
      <c r="K45">
        <f>'Results vs speed'!O50</f>
        <v>0.92767938400000005</v>
      </c>
      <c r="L45">
        <f t="shared" si="22"/>
        <v>0.24017175926171783</v>
      </c>
      <c r="M45">
        <f t="shared" si="18"/>
        <v>2.1911258144162355E-2</v>
      </c>
      <c r="N45">
        <v>16</v>
      </c>
      <c r="O45" s="25">
        <f t="shared" si="14"/>
        <v>1.1112825991928521E-3</v>
      </c>
      <c r="P45" s="24">
        <f t="shared" si="19"/>
        <v>845705.02822829131</v>
      </c>
      <c r="Q45">
        <f t="shared" si="16"/>
        <v>4.8628518896059814E-3</v>
      </c>
      <c r="R45">
        <f t="shared" si="23"/>
        <v>0.68422149721297887</v>
      </c>
      <c r="S45">
        <f t="shared" si="21"/>
        <v>4.5058452615010127</v>
      </c>
      <c r="U45">
        <f t="shared" si="24"/>
        <v>3.0892819519543081E-3</v>
      </c>
      <c r="V45">
        <f t="shared" si="6"/>
        <v>1.7735699376516733E-3</v>
      </c>
      <c r="W45">
        <f t="shared" si="7"/>
        <v>1.7735699376516733E-3</v>
      </c>
      <c r="X45">
        <f t="shared" si="8"/>
        <v>8.0943318087108182E-2</v>
      </c>
      <c r="Y45">
        <v>1</v>
      </c>
      <c r="Z45">
        <f t="shared" si="9"/>
        <v>2.0137688206510681E-2</v>
      </c>
      <c r="AA45">
        <f t="shared" si="20"/>
        <v>5.3232823332784382E-2</v>
      </c>
      <c r="AB45">
        <f>AA45-'Results vs speed'!W50</f>
        <v>-4.6883303679726568E-3</v>
      </c>
    </row>
    <row r="46" spans="1:34">
      <c r="A46" t="str">
        <f>'Results vs speed'!A51</f>
        <v>D3</v>
      </c>
      <c r="B46" t="str">
        <f>'Results vs speed'!B51</f>
        <v>V2</v>
      </c>
      <c r="C46">
        <f>'Results vs speed'!C51</f>
        <v>13</v>
      </c>
      <c r="D46">
        <f>'Results vs speed'!D51</f>
        <v>16</v>
      </c>
      <c r="E46">
        <f>'Results vs speed'!E51</f>
        <v>1.2</v>
      </c>
      <c r="F46">
        <f>'Results vs speed'!M51</f>
        <v>0</v>
      </c>
      <c r="G46">
        <f>'Results vs speed'!N51</f>
        <v>0</v>
      </c>
      <c r="I46">
        <f>'Results vs speed'!Q51</f>
        <v>0.51690693257837417</v>
      </c>
      <c r="J46">
        <f>'Results vs speed'!L51</f>
        <v>1.197884553</v>
      </c>
      <c r="K46">
        <f>'Results vs speed'!O51</f>
        <v>2.0713320180000001</v>
      </c>
      <c r="L46">
        <f t="shared" si="22"/>
        <v>0.35510064922671419</v>
      </c>
      <c r="M46">
        <f t="shared" si="18"/>
        <v>2.2379999605444931E-2</v>
      </c>
      <c r="N46">
        <v>16</v>
      </c>
      <c r="O46" s="25">
        <f t="shared" si="14"/>
        <v>1.1112825991928521E-3</v>
      </c>
      <c r="P46" s="24">
        <f t="shared" si="19"/>
        <v>1250398.4877377332</v>
      </c>
      <c r="Q46">
        <f t="shared" si="16"/>
        <v>4.4680607155446819E-3</v>
      </c>
      <c r="R46">
        <f t="shared" si="23"/>
        <v>3.5586624782922458</v>
      </c>
      <c r="S46">
        <f t="shared" si="21"/>
        <v>5.0088843975605384</v>
      </c>
      <c r="U46">
        <f t="shared" si="24"/>
        <v>2.8868468286863016E-3</v>
      </c>
      <c r="V46">
        <f t="shared" si="6"/>
        <v>1.5812138868583803E-3</v>
      </c>
      <c r="W46">
        <f t="shared" si="7"/>
        <v>1.5812138868583803E-3</v>
      </c>
      <c r="X46">
        <f t="shared" si="8"/>
        <v>7.0652989934534213E-2</v>
      </c>
      <c r="Y46">
        <v>1</v>
      </c>
      <c r="Z46">
        <f t="shared" si="9"/>
        <v>2.0798785718586552E-2</v>
      </c>
      <c r="AA46">
        <f t="shared" si="20"/>
        <v>5.498039667413248E-2</v>
      </c>
      <c r="AB46">
        <f>AA46-'Results vs speed'!W51</f>
        <v>-4.1798481845231814E-3</v>
      </c>
    </row>
    <row r="47" spans="1:34">
      <c r="A47" t="str">
        <f>'Results vs speed'!A52</f>
        <v>D3</v>
      </c>
      <c r="B47" t="str">
        <f>'Results vs speed'!B52</f>
        <v>V2</v>
      </c>
      <c r="C47">
        <f>'Results vs speed'!C52</f>
        <v>14</v>
      </c>
      <c r="D47">
        <f>'Results vs speed'!D52</f>
        <v>16</v>
      </c>
      <c r="E47">
        <f>'Results vs speed'!E52</f>
        <v>1.6</v>
      </c>
      <c r="F47">
        <f>'Results vs speed'!M52</f>
        <v>0</v>
      </c>
      <c r="G47" t="str">
        <f>'Results vs speed'!N52</f>
        <v>water over bow a bit. Adjusted angle??</v>
      </c>
      <c r="I47">
        <f>'Results vs speed'!Q52</f>
        <v>1.1406452800707321</v>
      </c>
      <c r="J47">
        <f>'Results vs speed'!L52</f>
        <v>1.6058393099999999</v>
      </c>
      <c r="K47">
        <f>'Results vs speed'!O52</f>
        <v>3.5402592590000004</v>
      </c>
      <c r="L47">
        <f t="shared" si="22"/>
        <v>0.47603467304647573</v>
      </c>
      <c r="M47">
        <f t="shared" si="18"/>
        <v>2.1284878854902035E-2</v>
      </c>
      <c r="N47">
        <v>16</v>
      </c>
      <c r="O47" s="25">
        <f t="shared" si="14"/>
        <v>1.1112825991928521E-3</v>
      </c>
      <c r="P47" s="24">
        <f t="shared" si="19"/>
        <v>1676237.5303572388</v>
      </c>
      <c r="Q47">
        <f t="shared" si="16"/>
        <v>4.2028553704519462E-3</v>
      </c>
      <c r="R47">
        <f t="shared" si="23"/>
        <v>12.21827516314991</v>
      </c>
      <c r="S47">
        <f t="shared" si="21"/>
        <v>5.0643852759114107</v>
      </c>
      <c r="U47">
        <f t="shared" si="24"/>
        <v>2.7478886826959046E-3</v>
      </c>
      <c r="V47">
        <f t="shared" si="6"/>
        <v>1.4549666877560416E-3</v>
      </c>
      <c r="W47">
        <f t="shared" si="7"/>
        <v>1.4549666877560416E-3</v>
      </c>
      <c r="X47">
        <f t="shared" si="8"/>
        <v>6.8356822591027058E-2</v>
      </c>
      <c r="Y47">
        <v>1</v>
      </c>
      <c r="Z47">
        <f t="shared" si="9"/>
        <v>1.9829912167145993E-2</v>
      </c>
      <c r="AA47">
        <f t="shared" si="20"/>
        <v>5.2419235032004775E-2</v>
      </c>
      <c r="AB47">
        <f>AA47-'Results vs speed'!W52</f>
        <v>-3.8461209573878927E-3</v>
      </c>
    </row>
    <row r="48" spans="1:34">
      <c r="A48" t="str">
        <f>'Results vs speed'!A53</f>
        <v>D3</v>
      </c>
      <c r="B48" t="str">
        <f>'Results vs speed'!B53</f>
        <v>V2</v>
      </c>
      <c r="C48">
        <f>'Results vs speed'!C53</f>
        <v>15</v>
      </c>
      <c r="D48">
        <f>'Results vs speed'!D53</f>
        <v>24</v>
      </c>
      <c r="E48">
        <f>'Results vs speed'!E53</f>
        <v>0.4</v>
      </c>
      <c r="F48">
        <f>'Results vs speed'!M53</f>
        <v>0</v>
      </c>
      <c r="G48">
        <f>'Results vs speed'!N53</f>
        <v>0</v>
      </c>
      <c r="I48">
        <f>'Results vs speed'!Q53</f>
        <v>4.9012164353759491E-2</v>
      </c>
      <c r="J48">
        <f>'Results vs speed'!L53</f>
        <v>0.40032908499999997</v>
      </c>
      <c r="K48">
        <f>'Results vs speed'!O53</f>
        <v>0.46712446199999996</v>
      </c>
      <c r="L48">
        <f t="shared" si="22"/>
        <v>0.11867347118870181</v>
      </c>
      <c r="M48">
        <f t="shared" si="18"/>
        <v>4.5189611552372104E-2</v>
      </c>
      <c r="N48">
        <v>16</v>
      </c>
      <c r="O48" s="25">
        <f t="shared" si="14"/>
        <v>1.1112825991928521E-3</v>
      </c>
      <c r="P48" s="24">
        <f t="shared" si="19"/>
        <v>417879.06958796096</v>
      </c>
      <c r="Q48">
        <f t="shared" si="16"/>
        <v>5.7199478804979189E-3</v>
      </c>
      <c r="R48">
        <f t="shared" si="23"/>
        <v>3.4675482344978248E-2</v>
      </c>
      <c r="S48">
        <f t="shared" si="21"/>
        <v>7.9003537263766761</v>
      </c>
      <c r="U48">
        <f t="shared" si="24"/>
        <v>3.5122046355578747E-3</v>
      </c>
      <c r="V48">
        <f t="shared" si="6"/>
        <v>2.2077432449400442E-3</v>
      </c>
      <c r="W48">
        <f t="shared" si="7"/>
        <v>2.2077432449400442E-3</v>
      </c>
      <c r="X48">
        <f t="shared" si="8"/>
        <v>4.8855105611638187E-2</v>
      </c>
      <c r="Y48">
        <v>1</v>
      </c>
      <c r="Z48">
        <f t="shared" si="9"/>
        <v>4.2981868307432058E-2</v>
      </c>
      <c r="AA48">
        <f t="shared" si="20"/>
        <v>0.11362010269792491</v>
      </c>
      <c r="AB48">
        <f>AA48-'Results vs speed'!W53</f>
        <v>-5.8360425942062533E-3</v>
      </c>
    </row>
    <row r="49" spans="1:34">
      <c r="A49" t="str">
        <f>'Results vs speed'!A54</f>
        <v>D3</v>
      </c>
      <c r="B49" t="str">
        <f>'Results vs speed'!B54</f>
        <v>V2</v>
      </c>
      <c r="C49">
        <f>'Results vs speed'!C54</f>
        <v>16</v>
      </c>
      <c r="D49">
        <f>'Results vs speed'!D54</f>
        <v>24</v>
      </c>
      <c r="E49">
        <f>'Results vs speed'!E54</f>
        <v>0.8</v>
      </c>
      <c r="F49">
        <f>'Results vs speed'!M54</f>
        <v>0</v>
      </c>
      <c r="G49">
        <f>'Results vs speed'!N54</f>
        <v>0</v>
      </c>
      <c r="I49">
        <f>'Results vs speed'!Q54</f>
        <v>0.21040113554038364</v>
      </c>
      <c r="J49">
        <f>'Results vs speed'!L54</f>
        <v>0.80901094500000004</v>
      </c>
      <c r="K49">
        <f>'Results vs speed'!O54</f>
        <v>1.8761560489999998</v>
      </c>
      <c r="L49">
        <f t="shared" si="22"/>
        <v>0.23982303727145365</v>
      </c>
      <c r="M49">
        <f t="shared" si="18"/>
        <v>4.4442701378043785E-2</v>
      </c>
      <c r="N49">
        <v>16</v>
      </c>
      <c r="O49" s="25">
        <f t="shared" si="14"/>
        <v>1.1112825991928521E-3</v>
      </c>
      <c r="P49" s="24">
        <f t="shared" si="19"/>
        <v>844477.09059929289</v>
      </c>
      <c r="Q49">
        <f t="shared" si="16"/>
        <v>4.8644150293372544E-3</v>
      </c>
      <c r="R49">
        <f t="shared" si="23"/>
        <v>0.68003767491790545</v>
      </c>
      <c r="S49">
        <f t="shared" si="21"/>
        <v>9.1362889700015621</v>
      </c>
      <c r="U49">
        <f t="shared" si="24"/>
        <v>3.0900734071079034E-3</v>
      </c>
      <c r="V49">
        <f t="shared" si="6"/>
        <v>1.774341622229351E-3</v>
      </c>
      <c r="W49">
        <f t="shared" si="7"/>
        <v>1.774341622229351E-3</v>
      </c>
      <c r="X49">
        <f t="shared" si="8"/>
        <v>3.9924252289171971E-2</v>
      </c>
      <c r="Y49">
        <v>1</v>
      </c>
      <c r="Z49">
        <f t="shared" si="9"/>
        <v>4.2668359755814435E-2</v>
      </c>
      <c r="AA49">
        <f t="shared" si="20"/>
        <v>0.11279136082991929</v>
      </c>
      <c r="AB49">
        <f>AA49-'Results vs speed'!W54</f>
        <v>-4.6903702718767842E-3</v>
      </c>
    </row>
    <row r="50" spans="1:34">
      <c r="A50" t="str">
        <f>'Results vs speed'!A55</f>
        <v>D3</v>
      </c>
      <c r="B50" t="str">
        <f>'Results vs speed'!B55</f>
        <v>V2</v>
      </c>
      <c r="C50">
        <f>'Results vs speed'!C55</f>
        <v>18</v>
      </c>
      <c r="D50">
        <f>'Results vs speed'!D55</f>
        <v>24</v>
      </c>
      <c r="E50">
        <f>'Results vs speed'!E55</f>
        <v>1</v>
      </c>
      <c r="F50">
        <f>'Results vs speed'!M55</f>
        <v>14.12</v>
      </c>
      <c r="G50">
        <f>'Results vs speed'!N55</f>
        <v>0</v>
      </c>
      <c r="I50">
        <f>'Results vs speed'!Q55</f>
        <v>0.44262714226890632</v>
      </c>
      <c r="J50">
        <f>'Results vs speed'!L55</f>
        <v>1.003192364</v>
      </c>
      <c r="K50">
        <f>'Results vs speed'!O55</f>
        <v>3.0296824060000001</v>
      </c>
      <c r="L50">
        <f t="shared" si="22"/>
        <v>0.29738613697248517</v>
      </c>
      <c r="M50">
        <f t="shared" si="18"/>
        <v>4.6673347959631045E-2</v>
      </c>
      <c r="N50">
        <v>16</v>
      </c>
      <c r="O50" s="25">
        <f t="shared" si="14"/>
        <v>1.1112825991928521E-3</v>
      </c>
      <c r="P50" s="24">
        <f t="shared" si="19"/>
        <v>1047171.2083723994</v>
      </c>
      <c r="Q50">
        <f t="shared" si="16"/>
        <v>4.6409333816404413E-3</v>
      </c>
      <c r="R50">
        <f t="shared" si="23"/>
        <v>1.6853012524242497</v>
      </c>
      <c r="S50">
        <f t="shared" si="21"/>
        <v>10.056888156221133</v>
      </c>
      <c r="U50">
        <f t="shared" si="24"/>
        <v>2.976122257178266E-3</v>
      </c>
      <c r="V50">
        <f t="shared" si="6"/>
        <v>1.6648111244621754E-3</v>
      </c>
      <c r="W50">
        <f t="shared" si="7"/>
        <v>1.6648111244621754E-3</v>
      </c>
      <c r="X50">
        <f t="shared" si="8"/>
        <v>3.566941728504483E-2</v>
      </c>
      <c r="Y50">
        <v>1</v>
      </c>
      <c r="Z50">
        <f t="shared" si="9"/>
        <v>4.5008536835168866E-2</v>
      </c>
      <c r="AA50">
        <f t="shared" si="20"/>
        <v>0.11897748466673738</v>
      </c>
      <c r="AB50">
        <f>AA50-'Results vs speed'!W55</f>
        <v>-4.4008326855659724E-3</v>
      </c>
    </row>
    <row r="51" spans="1:34">
      <c r="A51" t="str">
        <f>'Results vs speed'!A56</f>
        <v>D3</v>
      </c>
      <c r="B51" t="str">
        <f>'Results vs speed'!B56</f>
        <v>V2</v>
      </c>
      <c r="C51">
        <f>'Results vs speed'!C56</f>
        <v>17</v>
      </c>
      <c r="D51">
        <f>'Results vs speed'!D56</f>
        <v>24</v>
      </c>
      <c r="E51">
        <f>'Results vs speed'!E56</f>
        <v>1.2</v>
      </c>
      <c r="F51">
        <f>'Results vs speed'!M56</f>
        <v>0</v>
      </c>
      <c r="G51" t="str">
        <f>'Results vs speed'!N56</f>
        <v>a Little water over bow. Reduce speed to 1.0m/s to capture curve more accurately</v>
      </c>
      <c r="I51">
        <f>'Results vs speed'!Q56</f>
        <v>0.67291717026197162</v>
      </c>
      <c r="J51">
        <f>'Results vs speed'!L56</f>
        <v>1.194729685</v>
      </c>
      <c r="K51">
        <f>'Results vs speed'!O56</f>
        <v>3.9354020369999994</v>
      </c>
      <c r="L51">
        <f t="shared" si="22"/>
        <v>0.35416542080906838</v>
      </c>
      <c r="M51">
        <f t="shared" si="18"/>
        <v>4.2745468586440981E-2</v>
      </c>
      <c r="N51">
        <v>16</v>
      </c>
      <c r="O51" s="25">
        <f t="shared" si="14"/>
        <v>1.1112825991928521E-3</v>
      </c>
      <c r="P51" s="24">
        <f t="shared" si="19"/>
        <v>1247105.3138118049</v>
      </c>
      <c r="Q51">
        <f t="shared" si="16"/>
        <v>4.4705598128657563E-3</v>
      </c>
      <c r="R51">
        <f t="shared" si="23"/>
        <v>3.5193520716992057</v>
      </c>
      <c r="S51">
        <f t="shared" si="21"/>
        <v>9.5615471832911041</v>
      </c>
      <c r="U51">
        <f t="shared" si="24"/>
        <v>2.8881446187470059E-3</v>
      </c>
      <c r="V51">
        <f t="shared" si="6"/>
        <v>1.5824151941187504E-3</v>
      </c>
      <c r="W51">
        <f t="shared" si="7"/>
        <v>1.5824151941187504E-3</v>
      </c>
      <c r="X51">
        <f t="shared" si="8"/>
        <v>3.7019484086804423E-2</v>
      </c>
      <c r="Y51">
        <v>1</v>
      </c>
      <c r="Z51">
        <f t="shared" si="9"/>
        <v>4.1163053392322228E-2</v>
      </c>
      <c r="AA51">
        <f t="shared" si="20"/>
        <v>0.10881216982806491</v>
      </c>
      <c r="AB51">
        <f>AA51-'Results vs speed'!W56</f>
        <v>-4.183023771338501E-3</v>
      </c>
    </row>
    <row r="52" spans="1:34">
      <c r="AC52" t="s">
        <v>159</v>
      </c>
    </row>
    <row r="53" spans="1:34">
      <c r="A53" t="str">
        <f>'Results vs speed'!A58</f>
        <v>D4</v>
      </c>
      <c r="B53" t="str">
        <f>'Results vs speed'!B58</f>
        <v>V3</v>
      </c>
      <c r="C53">
        <f>'Results vs speed'!C58</f>
        <v>24</v>
      </c>
      <c r="D53">
        <f>'Results vs speed'!D58</f>
        <v>0</v>
      </c>
      <c r="E53">
        <f>'Results vs speed'!E58</f>
        <v>0.4</v>
      </c>
      <c r="F53">
        <f>'Results vs speed'!M58</f>
        <v>9.26</v>
      </c>
      <c r="G53" t="str">
        <f>'Results vs speed'!N58</f>
        <v>Twater = 16</v>
      </c>
      <c r="I53">
        <f>'Results vs speed'!Q58</f>
        <v>3.3049399E-2</v>
      </c>
      <c r="J53">
        <f>'Results vs speed'!L58</f>
        <v>0.40046712400000001</v>
      </c>
      <c r="K53">
        <f>'Results vs speed'!O58</f>
        <v>3.3049399E-2</v>
      </c>
      <c r="L53">
        <f>J53/SQRT($K$3*$M$3)</f>
        <v>0.11871439144132204</v>
      </c>
      <c r="M53">
        <f t="shared" ref="M53:M67" si="25">K53/(0.5*$P$3*$O$5*$J53^2)</f>
        <v>3.7131017082003837E-3</v>
      </c>
      <c r="N53">
        <v>16</v>
      </c>
      <c r="O53" s="25">
        <f t="shared" ref="O53:O67" si="26">$Q$3*10^($R$3/($N53+273-$S$3))</f>
        <v>1.1112825991928521E-3</v>
      </c>
      <c r="P53" s="24">
        <f t="shared" ref="P53:P67" si="27">$P$3*J53*$M$3/$O53</f>
        <v>418023.16006514139</v>
      </c>
      <c r="Q53">
        <f t="shared" ref="Q53:Q67" si="28">0.075/(LOG10($P53)-2)^2</f>
        <v>5.7194748875746279E-3</v>
      </c>
      <c r="R53">
        <f>$L53^4/$Q53</f>
        <v>3.4726205002416799E-2</v>
      </c>
      <c r="S53">
        <f t="shared" ref="S53:S67" si="29">$M53/$Q53</f>
        <v>0.64920325400273649</v>
      </c>
      <c r="U53">
        <f>0.075/(LOG10($P53*10)-2)^2</f>
        <v>3.5119770513714109E-3</v>
      </c>
      <c r="V53">
        <f t="shared" si="6"/>
        <v>2.207497836203217E-3</v>
      </c>
      <c r="W53">
        <f t="shared" si="7"/>
        <v>2.207497836203217E-3</v>
      </c>
      <c r="X53">
        <f t="shared" si="8"/>
        <v>0.59451585485201197</v>
      </c>
      <c r="Y53">
        <v>1.2</v>
      </c>
      <c r="Z53">
        <f t="shared" si="9"/>
        <v>1.0641043047565231E-3</v>
      </c>
      <c r="AA53">
        <f>Z53*$O$5/$AA$12</f>
        <v>2.4204011849994684E-3</v>
      </c>
      <c r="AB53">
        <f>AA53-'Results vs speed'!W58</f>
        <v>-6.0253834381612404E-3</v>
      </c>
    </row>
    <row r="54" spans="1:34">
      <c r="A54" t="str">
        <f>'Results vs speed'!A59</f>
        <v>D4</v>
      </c>
      <c r="B54" t="str">
        <f>'Results vs speed'!B59</f>
        <v>V3</v>
      </c>
      <c r="C54">
        <f>'Results vs speed'!C59</f>
        <v>25</v>
      </c>
      <c r="D54">
        <f>'Results vs speed'!D59</f>
        <v>0</v>
      </c>
      <c r="E54">
        <f>'Results vs speed'!E59</f>
        <v>0.8</v>
      </c>
      <c r="F54">
        <f>'Results vs speed'!M59</f>
        <v>9.3699999999999992</v>
      </c>
      <c r="G54">
        <f>'Results vs speed'!N59</f>
        <v>0</v>
      </c>
      <c r="I54">
        <f>'Results vs speed'!Q59</f>
        <v>0.150880187</v>
      </c>
      <c r="J54">
        <f>'Results vs speed'!L59</f>
        <v>0.80883299900000005</v>
      </c>
      <c r="K54">
        <f>'Results vs speed'!O59</f>
        <v>0.150880187</v>
      </c>
      <c r="L54">
        <f t="shared" ref="L54:L55" si="30">J54/SQRT($K$3*$M$3)</f>
        <v>0.23977028699600428</v>
      </c>
      <c r="M54">
        <f t="shared" si="25"/>
        <v>4.1554829784080979E-3</v>
      </c>
      <c r="N54">
        <v>16</v>
      </c>
      <c r="O54" s="25">
        <f t="shared" si="26"/>
        <v>1.1112825991928521E-3</v>
      </c>
      <c r="P54" s="24">
        <f t="shared" si="27"/>
        <v>844291.34364334331</v>
      </c>
      <c r="Q54">
        <f t="shared" si="28"/>
        <v>4.8646517450342845E-3</v>
      </c>
      <c r="R54">
        <f t="shared" ref="R54:R67" si="31">$L54^4/$Q54</f>
        <v>0.67940649977954026</v>
      </c>
      <c r="S54">
        <f t="shared" si="29"/>
        <v>0.8542200338698267</v>
      </c>
      <c r="U54">
        <f>0.075/(LOG10($P54*10)-2)^2</f>
        <v>3.0901932551939469E-3</v>
      </c>
      <c r="V54">
        <f t="shared" si="6"/>
        <v>1.7744584898403376E-3</v>
      </c>
      <c r="W54">
        <f t="shared" si="7"/>
        <v>1.7744584898403376E-3</v>
      </c>
      <c r="X54">
        <f t="shared" si="8"/>
        <v>0.42701618537735064</v>
      </c>
      <c r="Y54">
        <v>1.2</v>
      </c>
      <c r="Z54">
        <f t="shared" si="9"/>
        <v>2.0261327905996929E-3</v>
      </c>
      <c r="AA54">
        <f t="shared" ref="AA54:AA67" si="32">Z54*$O$5/$AA$12</f>
        <v>4.6086217163230714E-3</v>
      </c>
      <c r="AB54">
        <f>AA54-'Results vs speed'!W59</f>
        <v>-4.8433989927609217E-3</v>
      </c>
      <c r="AH54" t="s">
        <v>219</v>
      </c>
    </row>
    <row r="55" spans="1:34">
      <c r="A55" t="str">
        <f>'Results vs speed'!A60</f>
        <v>D4</v>
      </c>
      <c r="B55" t="str">
        <f>'Results vs speed'!B60</f>
        <v>V3</v>
      </c>
      <c r="C55">
        <f>'Results vs speed'!C60</f>
        <v>26</v>
      </c>
      <c r="D55">
        <f>'Results vs speed'!D60</f>
        <v>0</v>
      </c>
      <c r="E55">
        <f>'Results vs speed'!E60</f>
        <v>1.2</v>
      </c>
      <c r="F55">
        <f>'Results vs speed'!M60</f>
        <v>9.52</v>
      </c>
      <c r="G55">
        <f>'Results vs speed'!N60</f>
        <v>0</v>
      </c>
      <c r="I55">
        <f>'Results vs speed'!Q60</f>
        <v>0.54744192999999997</v>
      </c>
      <c r="J55">
        <f>'Results vs speed'!L60</f>
        <v>1.196493461</v>
      </c>
      <c r="K55">
        <f>'Results vs speed'!O60</f>
        <v>0.54744192999999997</v>
      </c>
      <c r="L55">
        <f t="shared" si="30"/>
        <v>0.35468827420184479</v>
      </c>
      <c r="M55">
        <f t="shared" si="25"/>
        <v>6.8900824040038933E-3</v>
      </c>
      <c r="N55">
        <v>16</v>
      </c>
      <c r="O55" s="25">
        <f t="shared" si="26"/>
        <v>1.1112825991928521E-3</v>
      </c>
      <c r="P55" s="24">
        <f t="shared" si="27"/>
        <v>1248946.4118020786</v>
      </c>
      <c r="Q55">
        <f t="shared" si="28"/>
        <v>4.4691615846907621E-3</v>
      </c>
      <c r="R55">
        <f t="shared" si="31"/>
        <v>3.5412881618516843</v>
      </c>
      <c r="S55">
        <f t="shared" si="29"/>
        <v>1.5416946273784469</v>
      </c>
      <c r="U55">
        <f>0.075/(LOG10($P55*10)-2)^2</f>
        <v>2.8874185402402112E-3</v>
      </c>
      <c r="V55">
        <f t="shared" si="6"/>
        <v>1.5817430444505509E-3</v>
      </c>
      <c r="W55">
        <f t="shared" si="7"/>
        <v>1.5817430444505509E-3</v>
      </c>
      <c r="X55">
        <f t="shared" si="8"/>
        <v>0.22956808811624441</v>
      </c>
      <c r="Y55">
        <v>1.2</v>
      </c>
      <c r="Z55">
        <f t="shared" si="9"/>
        <v>4.9919907506632321E-3</v>
      </c>
      <c r="AA55">
        <f t="shared" si="32"/>
        <v>1.135473305991022E-2</v>
      </c>
      <c r="AB55">
        <f>AA55-'Results vs speed'!W60</f>
        <v>-4.3173806049347039E-3</v>
      </c>
    </row>
    <row r="56" spans="1:34">
      <c r="A56" t="str">
        <f>'Results vs speed'!A61</f>
        <v>D4</v>
      </c>
      <c r="B56" t="str">
        <f>'Results vs speed'!B61</f>
        <v>V3</v>
      </c>
      <c r="C56">
        <f>'Results vs speed'!C61</f>
        <v>27</v>
      </c>
      <c r="D56">
        <f>'Results vs speed'!D61</f>
        <v>4</v>
      </c>
      <c r="E56">
        <f>'Results vs speed'!E61</f>
        <v>0.4</v>
      </c>
      <c r="F56">
        <f>'Results vs speed'!M61</f>
        <v>10.19</v>
      </c>
      <c r="G56">
        <f>'Results vs speed'!N61</f>
        <v>0</v>
      </c>
      <c r="I56">
        <f>'Results vs speed'!Q61</f>
        <v>1.5800436406971746E-2</v>
      </c>
      <c r="J56">
        <f>'Results vs speed'!L61</f>
        <v>0.399398115</v>
      </c>
      <c r="K56">
        <f>'Results vs speed'!O61</f>
        <v>2.2953411E-2</v>
      </c>
      <c r="L56">
        <f t="shared" ref="L56:L67" si="33">J56/SQRT($K$3*$M$3)</f>
        <v>0.1183974946343814</v>
      </c>
      <c r="M56">
        <f t="shared" si="25"/>
        <v>2.5926400667628229E-3</v>
      </c>
      <c r="N56">
        <v>16</v>
      </c>
      <c r="O56" s="25">
        <f t="shared" si="26"/>
        <v>1.1112825991928521E-3</v>
      </c>
      <c r="P56" s="24">
        <f t="shared" si="27"/>
        <v>416907.28689219634</v>
      </c>
      <c r="Q56">
        <f t="shared" si="28"/>
        <v>5.7231436667934815E-3</v>
      </c>
      <c r="R56">
        <f t="shared" si="31"/>
        <v>3.4334869582828671E-2</v>
      </c>
      <c r="S56">
        <f t="shared" si="29"/>
        <v>0.45300978233443634</v>
      </c>
      <c r="U56">
        <f t="shared" ref="U56:U67" si="34">0.075/(LOG10($P56*10)-2)^2</f>
        <v>3.5137421526912249E-3</v>
      </c>
      <c r="V56">
        <f t="shared" si="6"/>
        <v>2.2094015141022566E-3</v>
      </c>
      <c r="W56">
        <f t="shared" si="7"/>
        <v>2.2094015141022566E-3</v>
      </c>
      <c r="X56">
        <f t="shared" si="8"/>
        <v>0.85218212216434697</v>
      </c>
      <c r="Y56">
        <v>1.2</v>
      </c>
      <c r="Z56">
        <f t="shared" si="9"/>
        <v>-5.8641750159885066E-5</v>
      </c>
      <c r="AA56">
        <f t="shared" si="32"/>
        <v>-1.3338594810957463E-4</v>
      </c>
      <c r="AB56">
        <f>AA56-'Results vs speed'!W61</f>
        <v>-6.0305795425905856E-3</v>
      </c>
    </row>
    <row r="57" spans="1:34">
      <c r="A57" t="str">
        <f>'Results vs speed'!A62</f>
        <v>D4</v>
      </c>
      <c r="B57" t="str">
        <f>'Results vs speed'!B62</f>
        <v>V3</v>
      </c>
      <c r="C57">
        <f>'Results vs speed'!C62</f>
        <v>28</v>
      </c>
      <c r="D57">
        <f>'Results vs speed'!D62</f>
        <v>4</v>
      </c>
      <c r="E57">
        <f>'Results vs speed'!E62</f>
        <v>0.8</v>
      </c>
      <c r="F57">
        <f>'Results vs speed'!M62</f>
        <v>10.33</v>
      </c>
      <c r="G57">
        <f>'Results vs speed'!N62</f>
        <v>0</v>
      </c>
      <c r="I57">
        <f>'Results vs speed'!Q62</f>
        <v>0.24131894965790412</v>
      </c>
      <c r="J57">
        <f>'Results vs speed'!L62</f>
        <v>0.80615512700000003</v>
      </c>
      <c r="K57">
        <f>'Results vs speed'!O62</f>
        <v>0.27120161000000004</v>
      </c>
      <c r="L57">
        <f t="shared" si="33"/>
        <v>0.23897645917397872</v>
      </c>
      <c r="M57">
        <f t="shared" si="25"/>
        <v>7.5190338426933583E-3</v>
      </c>
      <c r="N57">
        <v>16</v>
      </c>
      <c r="O57" s="25">
        <f t="shared" si="26"/>
        <v>1.1112825991928521E-3</v>
      </c>
      <c r="P57" s="24">
        <f t="shared" si="27"/>
        <v>841496.07669481344</v>
      </c>
      <c r="Q57">
        <f t="shared" si="28"/>
        <v>4.8682224271045975E-3</v>
      </c>
      <c r="R57">
        <f t="shared" si="31"/>
        <v>0.66996185362381455</v>
      </c>
      <c r="S57">
        <f t="shared" si="29"/>
        <v>1.5445132089343225</v>
      </c>
      <c r="U57">
        <f t="shared" si="34"/>
        <v>3.0920008600068914E-3</v>
      </c>
      <c r="V57">
        <f t="shared" si="6"/>
        <v>1.7762215670977062E-3</v>
      </c>
      <c r="W57">
        <f t="shared" si="7"/>
        <v>1.7762215670977062E-3</v>
      </c>
      <c r="X57">
        <f t="shared" si="8"/>
        <v>0.2362300269234397</v>
      </c>
      <c r="Y57">
        <v>1.2</v>
      </c>
      <c r="Z57">
        <f t="shared" si="9"/>
        <v>5.3875679621761107E-3</v>
      </c>
      <c r="AA57">
        <f t="shared" si="32"/>
        <v>1.2254509094294022E-2</v>
      </c>
      <c r="AB57">
        <f>AA57-'Results vs speed'!W62</f>
        <v>-4.848211326586362E-3</v>
      </c>
    </row>
    <row r="58" spans="1:34">
      <c r="A58" t="str">
        <f>'Results vs speed'!A63</f>
        <v>D4</v>
      </c>
      <c r="B58" t="str">
        <f>'Results vs speed'!B63</f>
        <v>V3</v>
      </c>
      <c r="C58">
        <f>'Results vs speed'!C63</f>
        <v>29</v>
      </c>
      <c r="D58">
        <f>'Results vs speed'!D63</f>
        <v>4</v>
      </c>
      <c r="E58">
        <f>'Results vs speed'!E63</f>
        <v>1.2</v>
      </c>
      <c r="F58">
        <f>'Results vs speed'!M63</f>
        <v>11.07</v>
      </c>
      <c r="G58" t="str">
        <f>'Results vs speed'!N63</f>
        <v>adjusted to 8degs</v>
      </c>
      <c r="I58">
        <f>'Results vs speed'!Q63</f>
        <v>0.48651783912669511</v>
      </c>
      <c r="J58">
        <f>'Results vs speed'!L63</f>
        <v>1.196628434</v>
      </c>
      <c r="K58">
        <f>'Results vs speed'!O63</f>
        <v>0.55746650600000003</v>
      </c>
      <c r="L58">
        <f t="shared" si="33"/>
        <v>0.35472828557005887</v>
      </c>
      <c r="M58">
        <f t="shared" si="25"/>
        <v>7.0146686210703774E-3</v>
      </c>
      <c r="N58">
        <v>16</v>
      </c>
      <c r="O58" s="25">
        <f t="shared" si="26"/>
        <v>1.1112825991928521E-3</v>
      </c>
      <c r="P58" s="24">
        <f t="shared" si="27"/>
        <v>1249087.3018692075</v>
      </c>
      <c r="Q58">
        <f t="shared" si="28"/>
        <v>4.4690546971592575E-3</v>
      </c>
      <c r="R58">
        <f t="shared" si="31"/>
        <v>3.542971098678295</v>
      </c>
      <c r="S58">
        <f t="shared" si="29"/>
        <v>1.5696090328742749</v>
      </c>
      <c r="U58">
        <f t="shared" si="34"/>
        <v>2.8873630324291284E-3</v>
      </c>
      <c r="V58">
        <f t="shared" si="6"/>
        <v>1.5816916647301291E-3</v>
      </c>
      <c r="W58">
        <f t="shared" si="7"/>
        <v>1.5816916647301291E-3</v>
      </c>
      <c r="X58">
        <f t="shared" si="8"/>
        <v>0.22548344763986539</v>
      </c>
      <c r="Y58">
        <v>1.2</v>
      </c>
      <c r="Z58">
        <f t="shared" si="9"/>
        <v>5.1166386233942223E-3</v>
      </c>
      <c r="AA58">
        <f t="shared" si="32"/>
        <v>1.1638255885179482E-2</v>
      </c>
      <c r="AB58">
        <f>AA58-'Results vs speed'!W63</f>
        <v>-4.3172403635666629E-3</v>
      </c>
    </row>
    <row r="59" spans="1:34">
      <c r="A59" t="str">
        <f>'Results vs speed'!A64</f>
        <v>D4</v>
      </c>
      <c r="B59" t="str">
        <f>'Results vs speed'!B64</f>
        <v>V3</v>
      </c>
      <c r="C59">
        <f>'Results vs speed'!C64</f>
        <v>30</v>
      </c>
      <c r="D59">
        <f>'Results vs speed'!D64</f>
        <v>8</v>
      </c>
      <c r="E59">
        <f>'Results vs speed'!E64</f>
        <v>0.4</v>
      </c>
      <c r="F59">
        <f>'Results vs speed'!M64</f>
        <v>0</v>
      </c>
      <c r="G59">
        <f>'Results vs speed'!N64</f>
        <v>0</v>
      </c>
      <c r="I59">
        <f>'Results vs speed'!Q64</f>
        <v>0.1025625772638695</v>
      </c>
      <c r="J59">
        <f>'Results vs speed'!L64</f>
        <v>0.39947481400000001</v>
      </c>
      <c r="K59">
        <f>'Results vs speed'!O64</f>
        <v>0.136457726</v>
      </c>
      <c r="L59">
        <f t="shared" si="33"/>
        <v>0.11842023127008376</v>
      </c>
      <c r="M59">
        <f t="shared" si="25"/>
        <v>1.5407292948529015E-2</v>
      </c>
      <c r="N59">
        <v>16</v>
      </c>
      <c r="O59" s="25">
        <f t="shared" si="26"/>
        <v>1.1112825991928521E-3</v>
      </c>
      <c r="P59" s="24">
        <f t="shared" si="27"/>
        <v>416987.34829157812</v>
      </c>
      <c r="Q59">
        <f t="shared" si="28"/>
        <v>5.7228799956305365E-3</v>
      </c>
      <c r="R59">
        <f t="shared" si="31"/>
        <v>3.4362834499615684E-2</v>
      </c>
      <c r="S59">
        <f t="shared" si="29"/>
        <v>2.6922271584049646</v>
      </c>
      <c r="U59">
        <f t="shared" si="34"/>
        <v>3.5136153090373741E-3</v>
      </c>
      <c r="V59">
        <f t="shared" si="6"/>
        <v>2.2092646865931624E-3</v>
      </c>
      <c r="W59">
        <f t="shared" si="7"/>
        <v>2.2092646865931624E-3</v>
      </c>
      <c r="X59">
        <f t="shared" si="8"/>
        <v>0.14339084055671752</v>
      </c>
      <c r="Y59">
        <v>1.2</v>
      </c>
      <c r="Z59">
        <f t="shared" si="9"/>
        <v>1.275617532461722E-2</v>
      </c>
      <c r="AA59">
        <f t="shared" si="32"/>
        <v>2.9015070922797367E-2</v>
      </c>
      <c r="AB59">
        <f>AA59-'Results vs speed'!W64</f>
        <v>-6.0302060707829695E-3</v>
      </c>
    </row>
    <row r="60" spans="1:34">
      <c r="A60" t="str">
        <f>'Results vs speed'!A65</f>
        <v>D4</v>
      </c>
      <c r="B60" t="str">
        <f>'Results vs speed'!B65</f>
        <v>V3</v>
      </c>
      <c r="C60">
        <f>'Results vs speed'!C65</f>
        <v>31</v>
      </c>
      <c r="D60">
        <f>'Results vs speed'!D65</f>
        <v>8</v>
      </c>
      <c r="E60">
        <f>'Results vs speed'!E65</f>
        <v>0.8</v>
      </c>
      <c r="F60">
        <f>'Results vs speed'!M65</f>
        <v>0</v>
      </c>
      <c r="G60">
        <f>'Results vs speed'!N65</f>
        <v>0</v>
      </c>
      <c r="I60">
        <f>'Results vs speed'!Q65</f>
        <v>7.6961140456947214E-2</v>
      </c>
      <c r="J60">
        <f>'Results vs speed'!L65</f>
        <v>0.80940050100000005</v>
      </c>
      <c r="K60">
        <f>'Results vs speed'!O65</f>
        <v>0.22767566100000003</v>
      </c>
      <c r="L60">
        <f t="shared" si="33"/>
        <v>0.23993851717155232</v>
      </c>
      <c r="M60">
        <f t="shared" si="25"/>
        <v>6.2617638530445916E-3</v>
      </c>
      <c r="N60">
        <v>16</v>
      </c>
      <c r="O60" s="25">
        <f t="shared" si="26"/>
        <v>1.1112825991928521E-3</v>
      </c>
      <c r="P60" s="24">
        <f t="shared" si="27"/>
        <v>844883.72430374252</v>
      </c>
      <c r="Q60">
        <f t="shared" si="28"/>
        <v>4.8638970578148777E-3</v>
      </c>
      <c r="R60">
        <f t="shared" si="31"/>
        <v>0.68142099068186335</v>
      </c>
      <c r="S60">
        <f t="shared" si="29"/>
        <v>1.2873964597963161</v>
      </c>
      <c r="U60">
        <f t="shared" si="34"/>
        <v>3.0898111542764224E-3</v>
      </c>
      <c r="V60">
        <f t="shared" si="6"/>
        <v>1.7740859035384553E-3</v>
      </c>
      <c r="W60">
        <f t="shared" si="7"/>
        <v>1.7740859035384553E-3</v>
      </c>
      <c r="X60">
        <f t="shared" si="8"/>
        <v>0.28332047409866157</v>
      </c>
      <c r="Y60">
        <v>1.2</v>
      </c>
      <c r="Z60">
        <f t="shared" si="9"/>
        <v>4.1328607687984454E-3</v>
      </c>
      <c r="AA60">
        <f t="shared" si="32"/>
        <v>9.4005644536194147E-3</v>
      </c>
      <c r="AB60">
        <f>AA60-'Results vs speed'!W65</f>
        <v>-4.8423820153959459E-3</v>
      </c>
    </row>
    <row r="61" spans="1:34">
      <c r="A61" t="str">
        <f>'Results vs speed'!A66</f>
        <v>D4</v>
      </c>
      <c r="B61" t="str">
        <f>'Results vs speed'!B66</f>
        <v>V3</v>
      </c>
      <c r="C61">
        <f>'Results vs speed'!C66</f>
        <v>32</v>
      </c>
      <c r="D61">
        <f>'Results vs speed'!D66</f>
        <v>8</v>
      </c>
      <c r="E61">
        <f>'Results vs speed'!E66</f>
        <v>1.2</v>
      </c>
      <c r="F61">
        <f>'Results vs speed'!M66</f>
        <v>0</v>
      </c>
      <c r="G61" t="str">
        <f>'Results vs speed'!N66</f>
        <v>set model to 12 degrees</v>
      </c>
      <c r="I61">
        <f>'Results vs speed'!Q66</f>
        <v>0.44829133563986084</v>
      </c>
      <c r="J61">
        <f>'Results vs speed'!L66</f>
        <v>1.1938263140000001</v>
      </c>
      <c r="K61">
        <f>'Results vs speed'!O66</f>
        <v>0.78753594500000013</v>
      </c>
      <c r="L61">
        <f t="shared" si="33"/>
        <v>0.35389762569660183</v>
      </c>
      <c r="M61">
        <f t="shared" si="25"/>
        <v>9.9562342812712853E-3</v>
      </c>
      <c r="N61">
        <v>16</v>
      </c>
      <c r="O61" s="25">
        <f t="shared" si="26"/>
        <v>1.1112825991928521E-3</v>
      </c>
      <c r="P61" s="24">
        <f t="shared" si="27"/>
        <v>1246162.3400256939</v>
      </c>
      <c r="Q61">
        <f t="shared" si="28"/>
        <v>4.4712770116158655E-3</v>
      </c>
      <c r="R61">
        <f t="shared" si="31"/>
        <v>3.5081569838498705</v>
      </c>
      <c r="S61">
        <f t="shared" si="29"/>
        <v>2.2267093395032624</v>
      </c>
      <c r="U61">
        <f t="shared" si="34"/>
        <v>2.8885170231520382E-3</v>
      </c>
      <c r="V61">
        <f t="shared" si="6"/>
        <v>1.5827599884638273E-3</v>
      </c>
      <c r="W61">
        <f t="shared" si="7"/>
        <v>1.5827599884638273E-3</v>
      </c>
      <c r="X61">
        <f t="shared" si="8"/>
        <v>0.15897175013661177</v>
      </c>
      <c r="Y61">
        <v>1.2</v>
      </c>
      <c r="Z61">
        <f t="shared" si="9"/>
        <v>8.0569222951146924E-3</v>
      </c>
      <c r="AA61">
        <f t="shared" si="32"/>
        <v>1.8326196204051862E-2</v>
      </c>
      <c r="AB61">
        <f>AA61-'Results vs speed'!W66</f>
        <v>-4.3201563619545448E-3</v>
      </c>
    </row>
    <row r="62" spans="1:34">
      <c r="A62" t="str">
        <f>'Results vs speed'!A67</f>
        <v>D4</v>
      </c>
      <c r="B62" t="str">
        <f>'Results vs speed'!B67</f>
        <v>V3</v>
      </c>
      <c r="C62">
        <f>'Results vs speed'!C67</f>
        <v>33</v>
      </c>
      <c r="D62">
        <f>'Results vs speed'!D67</f>
        <v>12</v>
      </c>
      <c r="E62">
        <f>'Results vs speed'!E67</f>
        <v>0.4</v>
      </c>
      <c r="F62">
        <f>'Results vs speed'!M67</f>
        <v>0</v>
      </c>
      <c r="G62">
        <f>'Results vs speed'!N67</f>
        <v>0</v>
      </c>
      <c r="I62">
        <f>'Results vs speed'!Q67</f>
        <v>-1.1556992964556534E-2</v>
      </c>
      <c r="J62">
        <f>'Results vs speed'!L67</f>
        <v>0.39940424800000002</v>
      </c>
      <c r="K62">
        <f>'Results vs speed'!O67</f>
        <v>9.3173092000000013E-2</v>
      </c>
      <c r="L62">
        <f t="shared" si="33"/>
        <v>0.1183993126996334</v>
      </c>
      <c r="M62">
        <f t="shared" si="25"/>
        <v>1.05237898150387E-2</v>
      </c>
      <c r="N62">
        <v>16</v>
      </c>
      <c r="O62" s="25">
        <f t="shared" si="26"/>
        <v>1.1112825991928521E-3</v>
      </c>
      <c r="P62" s="24">
        <f t="shared" si="27"/>
        <v>416913.68875613721</v>
      </c>
      <c r="Q62">
        <f t="shared" si="28"/>
        <v>5.7231225806058496E-3</v>
      </c>
      <c r="R62">
        <f t="shared" si="31"/>
        <v>3.4337105072943845E-2</v>
      </c>
      <c r="S62">
        <f t="shared" si="29"/>
        <v>1.8388195721512315</v>
      </c>
      <c r="U62">
        <f t="shared" si="34"/>
        <v>3.5137320088793229E-3</v>
      </c>
      <c r="V62">
        <f t="shared" si="6"/>
        <v>2.2093905717265267E-3</v>
      </c>
      <c r="W62">
        <f t="shared" si="7"/>
        <v>2.2093905717265267E-3</v>
      </c>
      <c r="X62">
        <f t="shared" si="8"/>
        <v>0.20994248370195162</v>
      </c>
      <c r="Y62">
        <v>1</v>
      </c>
      <c r="Z62">
        <f t="shared" si="9"/>
        <v>8.3143992433121726E-3</v>
      </c>
      <c r="AA62">
        <f t="shared" si="32"/>
        <v>1.8911850737861703E-2</v>
      </c>
      <c r="AB62">
        <f>AA62-'Results vs speed'!W67</f>
        <v>-5.0254580627386199E-3</v>
      </c>
    </row>
    <row r="63" spans="1:34">
      <c r="A63" t="str">
        <f>'Results vs speed'!A68</f>
        <v>D4</v>
      </c>
      <c r="B63" t="str">
        <f>'Results vs speed'!B68</f>
        <v>V3</v>
      </c>
      <c r="C63">
        <f>'Results vs speed'!C68</f>
        <v>34</v>
      </c>
      <c r="D63">
        <f>'Results vs speed'!D68</f>
        <v>12</v>
      </c>
      <c r="E63">
        <f>'Results vs speed'!E68</f>
        <v>0.8</v>
      </c>
      <c r="F63">
        <f>'Results vs speed'!M68</f>
        <v>13.03</v>
      </c>
      <c r="G63">
        <f>'Results vs speed'!N68</f>
        <v>0</v>
      </c>
      <c r="I63">
        <f>'Results vs speed'!Q68</f>
        <v>0.28255184660274357</v>
      </c>
      <c r="J63">
        <f>'Results vs speed'!L68</f>
        <v>0.80926551300000005</v>
      </c>
      <c r="K63">
        <f>'Results vs speed'!O68</f>
        <v>0.68920274799999992</v>
      </c>
      <c r="L63">
        <f t="shared" si="33"/>
        <v>0.23989850135674129</v>
      </c>
      <c r="M63">
        <f t="shared" si="25"/>
        <v>1.8961467708962634E-2</v>
      </c>
      <c r="N63">
        <v>16</v>
      </c>
      <c r="O63" s="25">
        <f t="shared" si="26"/>
        <v>1.1112825991928521E-3</v>
      </c>
      <c r="P63" s="24">
        <f t="shared" si="27"/>
        <v>844742.81857902964</v>
      </c>
      <c r="Q63">
        <f t="shared" si="28"/>
        <v>4.8640765064525155E-3</v>
      </c>
      <c r="R63">
        <f t="shared" si="31"/>
        <v>0.68094140501024047</v>
      </c>
      <c r="S63">
        <f t="shared" si="29"/>
        <v>3.8982667488492435</v>
      </c>
      <c r="U63">
        <f t="shared" si="34"/>
        <v>3.0899020114179619E-3</v>
      </c>
      <c r="V63">
        <f t="shared" si="6"/>
        <v>1.7741744950345536E-3</v>
      </c>
      <c r="W63">
        <f t="shared" si="7"/>
        <v>1.7741744950345536E-3</v>
      </c>
      <c r="X63">
        <f t="shared" si="8"/>
        <v>9.3567361043256345E-2</v>
      </c>
      <c r="Y63">
        <v>1</v>
      </c>
      <c r="Z63">
        <f t="shared" si="9"/>
        <v>1.7187293213928079E-2</v>
      </c>
      <c r="AA63">
        <f t="shared" si="32"/>
        <v>3.9094048089057719E-2</v>
      </c>
      <c r="AB63">
        <f>AA63-'Results vs speed'!W68</f>
        <v>-4.0355198555089289E-3</v>
      </c>
    </row>
    <row r="64" spans="1:34">
      <c r="A64" t="str">
        <f>'Results vs speed'!A69</f>
        <v>D4</v>
      </c>
      <c r="B64" t="str">
        <f>'Results vs speed'!B69</f>
        <v>V3</v>
      </c>
      <c r="C64">
        <f>'Results vs speed'!C69</f>
        <v>35</v>
      </c>
      <c r="D64">
        <f>'Results vs speed'!D69</f>
        <v>12</v>
      </c>
      <c r="E64">
        <f>'Results vs speed'!E69</f>
        <v>1.2</v>
      </c>
      <c r="F64">
        <f>'Results vs speed'!M69</f>
        <v>14</v>
      </c>
      <c r="G64" t="str">
        <f>'Results vs speed'!N69</f>
        <v>Adjust to 16 degrees</v>
      </c>
      <c r="I64">
        <f>'Results vs speed'!Q69</f>
        <v>0.29362122530100698</v>
      </c>
      <c r="J64">
        <f>'Results vs speed'!L69</f>
        <v>1.1966545070000001</v>
      </c>
      <c r="K64">
        <f>'Results vs speed'!O69</f>
        <v>1.2342780019999999</v>
      </c>
      <c r="L64">
        <f t="shared" si="33"/>
        <v>0.35473601464478827</v>
      </c>
      <c r="M64">
        <f t="shared" si="25"/>
        <v>1.5530392936216438E-2</v>
      </c>
      <c r="N64">
        <v>16</v>
      </c>
      <c r="O64" s="25">
        <f t="shared" si="26"/>
        <v>1.1112825991928521E-3</v>
      </c>
      <c r="P64" s="24">
        <f t="shared" si="27"/>
        <v>1249114.5178807084</v>
      </c>
      <c r="Q64">
        <f t="shared" si="28"/>
        <v>4.4690340513157695E-3</v>
      </c>
      <c r="R64">
        <f t="shared" si="31"/>
        <v>3.5432962650549693</v>
      </c>
      <c r="S64">
        <f t="shared" si="29"/>
        <v>3.4751117932619002</v>
      </c>
      <c r="U64">
        <f t="shared" si="34"/>
        <v>2.8873523107820257E-3</v>
      </c>
      <c r="V64">
        <f t="shared" si="6"/>
        <v>1.5816817405337438E-3</v>
      </c>
      <c r="W64">
        <f t="shared" si="7"/>
        <v>1.5816817405337438E-3</v>
      </c>
      <c r="X64">
        <f t="shared" si="8"/>
        <v>0.10184428346595834</v>
      </c>
      <c r="Y64">
        <v>1</v>
      </c>
      <c r="Z64">
        <f t="shared" si="9"/>
        <v>1.3948711195682695E-2</v>
      </c>
      <c r="AA64">
        <f t="shared" si="32"/>
        <v>3.1727601285261864E-2</v>
      </c>
      <c r="AB64">
        <f>AA64-'Results vs speed'!W69</f>
        <v>-3.5976777294927376E-3</v>
      </c>
    </row>
    <row r="65" spans="1:36">
      <c r="A65" t="str">
        <f>'Results vs speed'!A70</f>
        <v>D4</v>
      </c>
      <c r="B65" t="str">
        <f>'Results vs speed'!B70</f>
        <v>V3</v>
      </c>
      <c r="C65">
        <f>'Results vs speed'!C70</f>
        <v>36</v>
      </c>
      <c r="D65">
        <f>'Results vs speed'!D70</f>
        <v>16</v>
      </c>
      <c r="E65">
        <f>'Results vs speed'!E70</f>
        <v>0.4</v>
      </c>
      <c r="F65">
        <f>'Results vs speed'!M70</f>
        <v>0</v>
      </c>
      <c r="G65">
        <f>'Results vs speed'!N70</f>
        <v>0</v>
      </c>
      <c r="I65">
        <f>'Results vs speed'!Q70</f>
        <v>3.1158830625788309E-2</v>
      </c>
      <c r="J65">
        <f>'Results vs speed'!L70</f>
        <v>0.400806094</v>
      </c>
      <c r="K65">
        <f>'Results vs speed'!O70</f>
        <v>0.24446905000000002</v>
      </c>
      <c r="L65">
        <f t="shared" si="33"/>
        <v>0.11881487563803943</v>
      </c>
      <c r="M65">
        <f t="shared" si="25"/>
        <v>2.7419672898385958E-2</v>
      </c>
      <c r="N65">
        <v>16</v>
      </c>
      <c r="O65" s="25">
        <f t="shared" si="26"/>
        <v>1.1112825991928521E-3</v>
      </c>
      <c r="P65" s="24">
        <f t="shared" si="27"/>
        <v>418376.99013526546</v>
      </c>
      <c r="Q65">
        <f t="shared" si="28"/>
        <v>5.7183143412759306E-3</v>
      </c>
      <c r="R65">
        <f t="shared" si="31"/>
        <v>3.4851000141126603E-2</v>
      </c>
      <c r="S65">
        <f t="shared" si="29"/>
        <v>4.7950621917485901</v>
      </c>
      <c r="U65">
        <f t="shared" si="34"/>
        <v>3.5114186196998948E-3</v>
      </c>
      <c r="V65">
        <f t="shared" si="6"/>
        <v>2.2068957215760359E-3</v>
      </c>
      <c r="W65">
        <f t="shared" si="7"/>
        <v>2.2068957215760359E-3</v>
      </c>
      <c r="X65">
        <f t="shared" si="8"/>
        <v>8.0485851518161011E-2</v>
      </c>
      <c r="Y65">
        <v>1</v>
      </c>
      <c r="Z65">
        <f t="shared" si="9"/>
        <v>2.5212777176809923E-2</v>
      </c>
      <c r="AA65">
        <f t="shared" si="32"/>
        <v>5.7348734971842244E-2</v>
      </c>
      <c r="AB65">
        <f>AA65-'Results vs speed'!W70</f>
        <v>-5.0197833011258117E-3</v>
      </c>
    </row>
    <row r="66" spans="1:36">
      <c r="A66" t="str">
        <f>'Results vs speed'!A71</f>
        <v>D4</v>
      </c>
      <c r="B66" t="str">
        <f>'Results vs speed'!B71</f>
        <v>V3</v>
      </c>
      <c r="C66">
        <f>'Results vs speed'!C71</f>
        <v>37</v>
      </c>
      <c r="D66">
        <f>'Results vs speed'!D71</f>
        <v>16</v>
      </c>
      <c r="E66">
        <f>'Results vs speed'!E71</f>
        <v>0.8</v>
      </c>
      <c r="F66">
        <f>'Results vs speed'!M71</f>
        <v>0</v>
      </c>
      <c r="G66">
        <f>'Results vs speed'!N71</f>
        <v>0</v>
      </c>
      <c r="I66">
        <f>'Results vs speed'!Q71</f>
        <v>7.7057961562990607E-2</v>
      </c>
      <c r="J66">
        <f>'Results vs speed'!L71</f>
        <v>0.80830082800000003</v>
      </c>
      <c r="K66">
        <f>'Results vs speed'!O71</f>
        <v>0.93636077299999987</v>
      </c>
      <c r="L66">
        <f t="shared" si="33"/>
        <v>0.23961253033479152</v>
      </c>
      <c r="M66">
        <f t="shared" si="25"/>
        <v>2.5822850505216755E-2</v>
      </c>
      <c r="N66">
        <v>16</v>
      </c>
      <c r="O66" s="25">
        <f t="shared" si="26"/>
        <v>1.1112825991928521E-3</v>
      </c>
      <c r="P66" s="24">
        <f t="shared" si="27"/>
        <v>843735.84285493137</v>
      </c>
      <c r="Q66">
        <f t="shared" si="28"/>
        <v>4.8653600886551995E-3</v>
      </c>
      <c r="R66">
        <f t="shared" si="31"/>
        <v>0.6775215497681164</v>
      </c>
      <c r="S66">
        <f t="shared" si="29"/>
        <v>5.3074901003584856</v>
      </c>
      <c r="U66">
        <f t="shared" si="34"/>
        <v>3.0905518757570155E-3</v>
      </c>
      <c r="V66">
        <f t="shared" si="6"/>
        <v>1.774808212898184E-3</v>
      </c>
      <c r="W66">
        <f t="shared" si="7"/>
        <v>1.774808212898184E-3</v>
      </c>
      <c r="X66">
        <f t="shared" si="8"/>
        <v>6.8730143193898585E-2</v>
      </c>
      <c r="Y66">
        <v>1</v>
      </c>
      <c r="Z66">
        <f t="shared" si="9"/>
        <v>2.4048042292318571E-2</v>
      </c>
      <c r="AA66">
        <f t="shared" si="32"/>
        <v>5.4699440459986912E-2</v>
      </c>
      <c r="AB66">
        <f>AA66-'Results vs speed'!W71</f>
        <v>-4.0369613039282493E-3</v>
      </c>
    </row>
    <row r="67" spans="1:36">
      <c r="A67" t="str">
        <f>'Results vs speed'!A72</f>
        <v>D4</v>
      </c>
      <c r="B67" t="str">
        <f>'Results vs speed'!B72</f>
        <v>V3</v>
      </c>
      <c r="C67">
        <f>'Results vs speed'!C72</f>
        <v>38</v>
      </c>
      <c r="D67">
        <f>'Results vs speed'!D72</f>
        <v>16</v>
      </c>
      <c r="E67">
        <f>'Results vs speed'!E72</f>
        <v>1.2</v>
      </c>
      <c r="F67">
        <f>'Results vs speed'!M72</f>
        <v>0</v>
      </c>
      <c r="G67" t="str">
        <f>'Results vs speed'!N72</f>
        <v>Final test of the day. Model removed 15.37pm</v>
      </c>
      <c r="I67">
        <f>'Results vs speed'!Q72</f>
        <v>0.17962975914866131</v>
      </c>
      <c r="J67">
        <f>'Results vs speed'!L72</f>
        <v>1.1968094140000001</v>
      </c>
      <c r="K67">
        <f>'Results vs speed'!O72</f>
        <v>2.0429319759999998</v>
      </c>
      <c r="L67">
        <f t="shared" si="33"/>
        <v>0.354781935243841</v>
      </c>
      <c r="M67">
        <f t="shared" si="25"/>
        <v>2.5698686689295654E-2</v>
      </c>
      <c r="N67">
        <v>16</v>
      </c>
      <c r="O67" s="25">
        <f t="shared" si="26"/>
        <v>1.1112825991928521E-3</v>
      </c>
      <c r="P67" s="24">
        <f t="shared" si="27"/>
        <v>1249276.2158323638</v>
      </c>
      <c r="Q67">
        <f t="shared" si="28"/>
        <v>4.4689114007980561E-3</v>
      </c>
      <c r="R67">
        <f t="shared" si="31"/>
        <v>3.5452286381426545</v>
      </c>
      <c r="S67">
        <f t="shared" si="29"/>
        <v>5.7505473670179263</v>
      </c>
      <c r="U67">
        <f t="shared" si="34"/>
        <v>2.8872886165196118E-3</v>
      </c>
      <c r="V67">
        <f t="shared" si="6"/>
        <v>1.5816227842784442E-3</v>
      </c>
      <c r="W67">
        <f t="shared" si="7"/>
        <v>1.5816227842784442E-3</v>
      </c>
      <c r="X67">
        <f t="shared" si="8"/>
        <v>6.1544887620161616E-2</v>
      </c>
      <c r="Y67">
        <v>1</v>
      </c>
      <c r="Z67">
        <f t="shared" si="9"/>
        <v>2.4117063905017208E-2</v>
      </c>
      <c r="AA67">
        <f t="shared" si="32"/>
        <v>5.4856436341330118E-2</v>
      </c>
      <c r="AB67">
        <f>AA67-'Results vs speed'!W72</f>
        <v>-3.5975436281743406E-3</v>
      </c>
    </row>
    <row r="69" spans="1:36">
      <c r="W69">
        <f>AVERAGE(W15:W67)</f>
        <v>1.7911815013857007E-3</v>
      </c>
      <c r="X69">
        <f>AVERAGE(X15:X67)</f>
        <v>0.18835946496409489</v>
      </c>
      <c r="AB69" t="s">
        <v>139</v>
      </c>
    </row>
    <row r="70" spans="1:36">
      <c r="W70" t="s">
        <v>139</v>
      </c>
      <c r="AB70">
        <f>AVERAGE(AB15:AB67)</f>
        <v>-6.3086032849359137E-3</v>
      </c>
    </row>
    <row r="71" spans="1:36">
      <c r="Y71" t="s">
        <v>184</v>
      </c>
    </row>
    <row r="72" spans="1:36">
      <c r="W72" t="s">
        <v>150</v>
      </c>
      <c r="Y72" t="s">
        <v>185</v>
      </c>
    </row>
    <row r="73" spans="1:36">
      <c r="M73" t="s">
        <v>132</v>
      </c>
      <c r="W73" t="s">
        <v>151</v>
      </c>
      <c r="Y73" t="s">
        <v>186</v>
      </c>
      <c r="AC73" t="s">
        <v>160</v>
      </c>
    </row>
    <row r="74" spans="1:36">
      <c r="W74" t="s">
        <v>147</v>
      </c>
    </row>
    <row r="75" spans="1:36">
      <c r="M75" t="s">
        <v>142</v>
      </c>
      <c r="W75" t="s">
        <v>149</v>
      </c>
      <c r="Y75" s="5">
        <v>1.3</v>
      </c>
      <c r="AF75" t="s">
        <v>194</v>
      </c>
    </row>
    <row r="76" spans="1:36">
      <c r="M76" t="s">
        <v>143</v>
      </c>
      <c r="W76" t="s">
        <v>152</v>
      </c>
      <c r="Y76" s="5">
        <v>1.1000000000000001</v>
      </c>
      <c r="Z76" t="s">
        <v>215</v>
      </c>
      <c r="AF76" t="s">
        <v>195</v>
      </c>
    </row>
    <row r="77" spans="1:36">
      <c r="Y77" s="5">
        <v>1</v>
      </c>
      <c r="AH77" t="s">
        <v>201</v>
      </c>
      <c r="AI77" t="s">
        <v>24</v>
      </c>
      <c r="AJ77" t="s">
        <v>29</v>
      </c>
    </row>
    <row r="78" spans="1:36">
      <c r="M78" t="s">
        <v>135</v>
      </c>
      <c r="Q78" t="s">
        <v>137</v>
      </c>
      <c r="AH78">
        <v>2.1425000000000001</v>
      </c>
      <c r="AI78">
        <v>1.6758</v>
      </c>
      <c r="AJ78">
        <v>2.0598999999999998</v>
      </c>
    </row>
    <row r="79" spans="1:36">
      <c r="Q79" t="s">
        <v>144</v>
      </c>
      <c r="AH79">
        <v>1.4898</v>
      </c>
      <c r="AI79">
        <v>1.1169</v>
      </c>
      <c r="AJ79">
        <v>0.87280000000000002</v>
      </c>
    </row>
    <row r="80" spans="1:36">
      <c r="AH80">
        <v>1.1931</v>
      </c>
      <c r="AJ80">
        <v>0.66020000000000001</v>
      </c>
    </row>
    <row r="82" spans="32:37">
      <c r="AF82" t="s">
        <v>196</v>
      </c>
      <c r="AH82">
        <f>AVERAGE(AH78:AH80)</f>
        <v>1.6084666666666667</v>
      </c>
      <c r="AI82">
        <f t="shared" ref="AI82:AJ82" si="35">AVERAGE(AI78:AI80)</f>
        <v>1.39635</v>
      </c>
      <c r="AJ82">
        <f t="shared" si="35"/>
        <v>1.1976333333333333</v>
      </c>
    </row>
    <row r="83" spans="32:37">
      <c r="AF83" t="s">
        <v>197</v>
      </c>
      <c r="AH83" s="5">
        <v>1.6</v>
      </c>
      <c r="AI83" s="5">
        <v>1.4</v>
      </c>
      <c r="AJ83" s="5">
        <v>1.2</v>
      </c>
      <c r="AK83" t="s">
        <v>216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F18" sqref="F18"/>
    </sheetView>
  </sheetViews>
  <sheetFormatPr defaultColWidth="8.85546875" defaultRowHeight="15"/>
  <sheetData>
    <row r="1" spans="1:6">
      <c r="A1" t="s">
        <v>177</v>
      </c>
    </row>
    <row r="2" spans="1:6">
      <c r="A2" t="s">
        <v>178</v>
      </c>
      <c r="C2" t="s">
        <v>181</v>
      </c>
      <c r="D2">
        <v>1.2</v>
      </c>
      <c r="E2" t="s">
        <v>180</v>
      </c>
      <c r="F2">
        <v>12</v>
      </c>
    </row>
    <row r="4" spans="1:6">
      <c r="C4" t="s">
        <v>179</v>
      </c>
      <c r="D4" t="s">
        <v>114</v>
      </c>
      <c r="E4" t="s">
        <v>182</v>
      </c>
    </row>
    <row r="5" spans="1:6">
      <c r="C5" t="s">
        <v>46</v>
      </c>
      <c r="E5" t="s">
        <v>46</v>
      </c>
    </row>
    <row r="6" spans="1:6">
      <c r="C6">
        <v>0</v>
      </c>
      <c r="D6" s="23">
        <f>$C6/SQRT(9.81*$D$2)</f>
        <v>0</v>
      </c>
      <c r="E6" s="23">
        <f>$D6*SQRT(9.81*$F$2)</f>
        <v>0</v>
      </c>
    </row>
    <row r="7" spans="1:6">
      <c r="C7">
        <v>0.4</v>
      </c>
      <c r="D7" s="23">
        <f t="shared" ref="D7:D10" si="0">$C7/SQRT(9.81*$D$2)</f>
        <v>0.1165829027971115</v>
      </c>
      <c r="E7" s="23">
        <f t="shared" ref="E7:E10" si="1">$D7*SQRT(9.81*$F$2)</f>
        <v>1.2649110640673518</v>
      </c>
    </row>
    <row r="8" spans="1:6">
      <c r="C8">
        <v>0.8</v>
      </c>
      <c r="D8" s="23">
        <f t="shared" si="0"/>
        <v>0.23316580559422301</v>
      </c>
      <c r="E8" s="23">
        <f t="shared" si="1"/>
        <v>2.5298221281347035</v>
      </c>
    </row>
    <row r="9" spans="1:6">
      <c r="C9">
        <v>1.2</v>
      </c>
      <c r="D9" s="23">
        <f t="shared" si="0"/>
        <v>0.34974870839133448</v>
      </c>
      <c r="E9" s="23">
        <f t="shared" si="1"/>
        <v>3.7947331922020555</v>
      </c>
    </row>
    <row r="10" spans="1:6">
      <c r="C10">
        <v>1.6</v>
      </c>
      <c r="D10" s="23">
        <f t="shared" si="0"/>
        <v>0.46633161118844602</v>
      </c>
      <c r="E10" s="23">
        <f t="shared" si="1"/>
        <v>5.0596442562694071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Averaged Data</vt:lpstr>
      <vt:lpstr>Results vs speed</vt:lpstr>
      <vt:lpstr>Results vs yaw</vt:lpstr>
      <vt:lpstr>Prohaska</vt:lpstr>
      <vt:lpstr>Froude Scaling</vt:lpstr>
    </vt:vector>
  </TitlesOfParts>
  <Company>The University of Auckland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Flay</dc:creator>
  <cp:lastModifiedBy>Richard GJ Flay</cp:lastModifiedBy>
  <dcterms:created xsi:type="dcterms:W3CDTF">2013-10-21T13:10:38Z</dcterms:created>
  <dcterms:modified xsi:type="dcterms:W3CDTF">2022-11-13T21:15:17Z</dcterms:modified>
</cp:coreProperties>
</file>